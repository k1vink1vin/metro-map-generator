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filterPrivacy="1" codeName="ThisWorkbook"/>
  <xr:revisionPtr revIDLastSave="0" documentId="13_ncr:1_{0623E997-CCCB-4F2E-B123-BFA414214B9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車站" sheetId="1" r:id="rId1"/>
    <sheet name="路線" sheetId="2" r:id="rId2"/>
    <sheet name="莫斯科環" sheetId="3" r:id="rId3"/>
    <sheet name="說明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00" i="1" l="1"/>
  <c r="H500" i="1" s="1"/>
  <c r="G499" i="1"/>
  <c r="H499" i="1" s="1"/>
  <c r="G498" i="1"/>
  <c r="H498" i="1" s="1"/>
  <c r="G497" i="1"/>
  <c r="H497" i="1" s="1"/>
  <c r="G496" i="1"/>
  <c r="H496" i="1" s="1"/>
  <c r="G495" i="1"/>
  <c r="H495" i="1" s="1"/>
  <c r="G494" i="1"/>
  <c r="H494" i="1" s="1"/>
  <c r="G493" i="1"/>
  <c r="H493" i="1" s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G485" i="1"/>
  <c r="H485" i="1" s="1"/>
  <c r="G484" i="1"/>
  <c r="H484" i="1" s="1"/>
  <c r="G483" i="1"/>
  <c r="H483" i="1" s="1"/>
  <c r="G482" i="1"/>
  <c r="H482" i="1" s="1"/>
  <c r="G481" i="1"/>
  <c r="H481" i="1" s="1"/>
  <c r="G480" i="1"/>
  <c r="H480" i="1" s="1"/>
  <c r="G479" i="1"/>
  <c r="H479" i="1" s="1"/>
  <c r="G478" i="1"/>
  <c r="H478" i="1" s="1"/>
  <c r="G477" i="1"/>
  <c r="H477" i="1" s="1"/>
  <c r="G476" i="1"/>
  <c r="H476" i="1" s="1"/>
  <c r="G475" i="1"/>
  <c r="H475" i="1" s="1"/>
  <c r="G474" i="1"/>
  <c r="H474" i="1" s="1"/>
  <c r="G473" i="1"/>
  <c r="H473" i="1" s="1"/>
  <c r="G472" i="1"/>
  <c r="H472" i="1" s="1"/>
  <c r="G471" i="1"/>
  <c r="H471" i="1" s="1"/>
  <c r="G470" i="1"/>
  <c r="H470" i="1" s="1"/>
  <c r="G469" i="1"/>
  <c r="H469" i="1" s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G460" i="1"/>
  <c r="H460" i="1" s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G453" i="1"/>
  <c r="H453" i="1" s="1"/>
  <c r="G452" i="1"/>
  <c r="H452" i="1" s="1"/>
  <c r="G451" i="1"/>
  <c r="H451" i="1" s="1"/>
  <c r="G450" i="1"/>
  <c r="H450" i="1" s="1"/>
  <c r="G449" i="1"/>
  <c r="H449" i="1" s="1"/>
  <c r="G448" i="1"/>
  <c r="H448" i="1" s="1"/>
  <c r="G447" i="1"/>
  <c r="H447" i="1" s="1"/>
  <c r="G446" i="1"/>
  <c r="H446" i="1" s="1"/>
  <c r="G445" i="1"/>
  <c r="H445" i="1" s="1"/>
  <c r="G444" i="1"/>
  <c r="H444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4" i="1"/>
  <c r="H414" i="1" s="1"/>
  <c r="G413" i="1"/>
  <c r="H413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05" i="1"/>
  <c r="H405" i="1" s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G397" i="1"/>
  <c r="H397" i="1" s="1"/>
  <c r="G396" i="1"/>
  <c r="H396" i="1" s="1"/>
  <c r="G395" i="1"/>
  <c r="H395" i="1" s="1"/>
  <c r="G394" i="1"/>
  <c r="H394" i="1" s="1"/>
  <c r="G393" i="1"/>
  <c r="H393" i="1" s="1"/>
  <c r="G392" i="1"/>
  <c r="H392" i="1" s="1"/>
  <c r="G391" i="1"/>
  <c r="H391" i="1" s="1"/>
  <c r="G390" i="1"/>
  <c r="H390" i="1" s="1"/>
  <c r="G389" i="1"/>
  <c r="H389" i="1" s="1"/>
  <c r="G388" i="1"/>
  <c r="H388" i="1" s="1"/>
  <c r="G387" i="1"/>
  <c r="H387" i="1" s="1"/>
  <c r="G386" i="1"/>
  <c r="H386" i="1" s="1"/>
  <c r="G385" i="1"/>
  <c r="H385" i="1" s="1"/>
  <c r="G384" i="1"/>
  <c r="H384" i="1" s="1"/>
  <c r="G383" i="1"/>
  <c r="H383" i="1" s="1"/>
  <c r="G382" i="1"/>
  <c r="H382" i="1" s="1"/>
  <c r="G381" i="1"/>
  <c r="H381" i="1" s="1"/>
  <c r="G380" i="1"/>
  <c r="H380" i="1" s="1"/>
  <c r="G379" i="1"/>
  <c r="H379" i="1" s="1"/>
  <c r="G378" i="1"/>
  <c r="H378" i="1" s="1"/>
  <c r="G377" i="1"/>
  <c r="H377" i="1" s="1"/>
  <c r="G376" i="1"/>
  <c r="H376" i="1" s="1"/>
  <c r="G375" i="1"/>
  <c r="H375" i="1" s="1"/>
  <c r="G374" i="1"/>
  <c r="H374" i="1" s="1"/>
  <c r="G373" i="1"/>
  <c r="H373" i="1" s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G365" i="1"/>
  <c r="H365" i="1" s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G357" i="1"/>
  <c r="H357" i="1" s="1"/>
  <c r="G356" i="1"/>
  <c r="H356" i="1" s="1"/>
  <c r="G355" i="1"/>
  <c r="H355" i="1" s="1"/>
  <c r="G354" i="1"/>
  <c r="H354" i="1" s="1"/>
  <c r="G353" i="1"/>
  <c r="H353" i="1" s="1"/>
  <c r="G352" i="1"/>
  <c r="H352" i="1" s="1"/>
  <c r="G351" i="1"/>
  <c r="H351" i="1" s="1"/>
  <c r="G350" i="1"/>
  <c r="H350" i="1" s="1"/>
  <c r="G349" i="1"/>
  <c r="H349" i="1" s="1"/>
  <c r="G348" i="1"/>
  <c r="H348" i="1" s="1"/>
  <c r="G347" i="1"/>
  <c r="H347" i="1" s="1"/>
  <c r="G346" i="1"/>
  <c r="H346" i="1" s="1"/>
  <c r="G345" i="1"/>
  <c r="H345" i="1" s="1"/>
  <c r="G344" i="1"/>
  <c r="H344" i="1" s="1"/>
  <c r="G343" i="1"/>
  <c r="H343" i="1" s="1"/>
  <c r="G342" i="1"/>
  <c r="H342" i="1" s="1"/>
  <c r="G341" i="1"/>
  <c r="H341" i="1" s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G333" i="1"/>
  <c r="H333" i="1" s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G325" i="1"/>
  <c r="H325" i="1" s="1"/>
  <c r="G324" i="1"/>
  <c r="H324" i="1" s="1"/>
  <c r="G323" i="1"/>
  <c r="H323" i="1" s="1"/>
  <c r="G322" i="1"/>
  <c r="H322" i="1" s="1"/>
  <c r="G321" i="1"/>
  <c r="H321" i="1" s="1"/>
  <c r="G320" i="1"/>
  <c r="H320" i="1" s="1"/>
  <c r="G319" i="1"/>
  <c r="H319" i="1" s="1"/>
  <c r="G318" i="1"/>
  <c r="H318" i="1" s="1"/>
  <c r="G317" i="1"/>
  <c r="H317" i="1" s="1"/>
  <c r="G316" i="1"/>
  <c r="H316" i="1" s="1"/>
  <c r="G315" i="1"/>
  <c r="H315" i="1" s="1"/>
  <c r="G314" i="1"/>
  <c r="H314" i="1" s="1"/>
  <c r="G313" i="1"/>
  <c r="H313" i="1" s="1"/>
  <c r="G312" i="1"/>
  <c r="H312" i="1" s="1"/>
  <c r="G311" i="1"/>
  <c r="H311" i="1" s="1"/>
  <c r="G310" i="1"/>
  <c r="H310" i="1" s="1"/>
  <c r="G309" i="1"/>
  <c r="H309" i="1" s="1"/>
  <c r="G308" i="1"/>
  <c r="H308" i="1" s="1"/>
  <c r="G307" i="1"/>
  <c r="H307" i="1" s="1"/>
  <c r="G306" i="1"/>
  <c r="H306" i="1" s="1"/>
  <c r="G305" i="1"/>
  <c r="H305" i="1" s="1"/>
  <c r="G304" i="1"/>
  <c r="H304" i="1" s="1"/>
  <c r="G303" i="1"/>
  <c r="H303" i="1" s="1"/>
  <c r="G302" i="1"/>
  <c r="H302" i="1" s="1"/>
  <c r="G301" i="1"/>
  <c r="H301" i="1" s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G293" i="1"/>
  <c r="H293" i="1" s="1"/>
  <c r="G292" i="1"/>
  <c r="H292" i="1" s="1"/>
  <c r="G291" i="1"/>
  <c r="H291" i="1" s="1"/>
  <c r="G290" i="1"/>
  <c r="H290" i="1" s="1"/>
  <c r="G289" i="1"/>
  <c r="H289" i="1" s="1"/>
  <c r="G288" i="1"/>
  <c r="H288" i="1" s="1"/>
  <c r="G287" i="1"/>
  <c r="H287" i="1" s="1"/>
  <c r="G286" i="1"/>
  <c r="H286" i="1" s="1"/>
  <c r="G285" i="1"/>
  <c r="H285" i="1" s="1"/>
  <c r="G284" i="1"/>
  <c r="H284" i="1" s="1"/>
  <c r="G283" i="1"/>
  <c r="H283" i="1" s="1"/>
  <c r="G282" i="1"/>
  <c r="H282" i="1" s="1"/>
  <c r="G281" i="1"/>
  <c r="H281" i="1" s="1"/>
  <c r="G280" i="1"/>
  <c r="H280" i="1" s="1"/>
  <c r="G279" i="1"/>
  <c r="H279" i="1" s="1"/>
  <c r="G278" i="1"/>
  <c r="H278" i="1" s="1"/>
  <c r="G277" i="1"/>
  <c r="H277" i="1" s="1"/>
  <c r="G276" i="1"/>
  <c r="H276" i="1" s="1"/>
  <c r="G275" i="1"/>
  <c r="H275" i="1" s="1"/>
  <c r="G274" i="1"/>
  <c r="H274" i="1" s="1"/>
  <c r="G273" i="1"/>
  <c r="H273" i="1" s="1"/>
  <c r="G272" i="1"/>
  <c r="H272" i="1" s="1"/>
  <c r="G271" i="1"/>
  <c r="H271" i="1" s="1"/>
  <c r="G270" i="1"/>
  <c r="H270" i="1" s="1"/>
  <c r="G269" i="1"/>
  <c r="H269" i="1" s="1"/>
  <c r="G268" i="1"/>
  <c r="H268" i="1" s="1"/>
  <c r="G267" i="1"/>
  <c r="H267" i="1" s="1"/>
  <c r="G266" i="1"/>
  <c r="H266" i="1" s="1"/>
  <c r="G265" i="1"/>
  <c r="H265" i="1" s="1"/>
  <c r="G264" i="1"/>
  <c r="H264" i="1" s="1"/>
  <c r="G263" i="1"/>
  <c r="H263" i="1" s="1"/>
  <c r="G262" i="1"/>
  <c r="H262" i="1" s="1"/>
  <c r="G261" i="1"/>
  <c r="H261" i="1" s="1"/>
  <c r="G260" i="1"/>
  <c r="H260" i="1" s="1"/>
  <c r="G259" i="1"/>
  <c r="H259" i="1" s="1"/>
  <c r="G258" i="1"/>
  <c r="H258" i="1" s="1"/>
  <c r="G257" i="1"/>
  <c r="H257" i="1" s="1"/>
  <c r="G256" i="1"/>
  <c r="H256" i="1" s="1"/>
  <c r="G255" i="1"/>
  <c r="H255" i="1" s="1"/>
  <c r="G254" i="1"/>
  <c r="H254" i="1" s="1"/>
  <c r="G253" i="1"/>
  <c r="H253" i="1" s="1"/>
  <c r="G252" i="1"/>
  <c r="H252" i="1" s="1"/>
  <c r="G251" i="1"/>
  <c r="H251" i="1" s="1"/>
  <c r="G250" i="1"/>
  <c r="H250" i="1" s="1"/>
  <c r="G249" i="1"/>
  <c r="H249" i="1" s="1"/>
  <c r="G248" i="1"/>
  <c r="H248" i="1" s="1"/>
  <c r="G247" i="1"/>
  <c r="H247" i="1" s="1"/>
  <c r="G246" i="1"/>
  <c r="H246" i="1" s="1"/>
  <c r="G245" i="1"/>
  <c r="H245" i="1" s="1"/>
  <c r="G244" i="1"/>
  <c r="H244" i="1" s="1"/>
  <c r="G243" i="1"/>
  <c r="H243" i="1" s="1"/>
  <c r="G242" i="1"/>
  <c r="H242" i="1" s="1"/>
  <c r="G241" i="1"/>
  <c r="H241" i="1" s="1"/>
  <c r="G240" i="1"/>
  <c r="H240" i="1" s="1"/>
  <c r="G239" i="1"/>
  <c r="H239" i="1" s="1"/>
  <c r="G238" i="1"/>
  <c r="H238" i="1" s="1"/>
  <c r="G237" i="1"/>
  <c r="H237" i="1" s="1"/>
  <c r="G236" i="1"/>
  <c r="H236" i="1" s="1"/>
  <c r="G235" i="1"/>
  <c r="H235" i="1" s="1"/>
  <c r="G234" i="1"/>
  <c r="H234" i="1" s="1"/>
  <c r="G233" i="1"/>
  <c r="H233" i="1" s="1"/>
  <c r="G232" i="1"/>
  <c r="H232" i="1" s="1"/>
  <c r="G231" i="1"/>
  <c r="H231" i="1" s="1"/>
  <c r="G230" i="1"/>
  <c r="H230" i="1" s="1"/>
  <c r="G229" i="1"/>
  <c r="H229" i="1" s="1"/>
  <c r="G228" i="1"/>
  <c r="H228" i="1" s="1"/>
  <c r="G227" i="1"/>
  <c r="H227" i="1" s="1"/>
  <c r="G226" i="1"/>
  <c r="H226" i="1" s="1"/>
  <c r="G225" i="1"/>
  <c r="H225" i="1" s="1"/>
  <c r="G224" i="1"/>
  <c r="H224" i="1" s="1"/>
  <c r="G223" i="1"/>
  <c r="H223" i="1" s="1"/>
  <c r="G222" i="1"/>
  <c r="H222" i="1" s="1"/>
  <c r="G221" i="1"/>
  <c r="H221" i="1" s="1"/>
  <c r="G220" i="1"/>
  <c r="H220" i="1" s="1"/>
  <c r="G219" i="1"/>
  <c r="H219" i="1" s="1"/>
  <c r="G218" i="1"/>
  <c r="H218" i="1" s="1"/>
  <c r="G217" i="1"/>
  <c r="H217" i="1" s="1"/>
  <c r="G216" i="1"/>
  <c r="H216" i="1" s="1"/>
  <c r="G215" i="1"/>
  <c r="H215" i="1" s="1"/>
  <c r="G214" i="1"/>
  <c r="H214" i="1" s="1"/>
  <c r="G213" i="1"/>
  <c r="H213" i="1" s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G205" i="1"/>
  <c r="H205" i="1" s="1"/>
  <c r="G204" i="1"/>
  <c r="H204" i="1" s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G197" i="1"/>
  <c r="H197" i="1" s="1"/>
  <c r="G196" i="1"/>
  <c r="H196" i="1" s="1"/>
  <c r="G195" i="1"/>
  <c r="H195" i="1" s="1"/>
  <c r="G194" i="1"/>
  <c r="H194" i="1" s="1"/>
  <c r="G193" i="1"/>
  <c r="H193" i="1" s="1"/>
  <c r="G192" i="1"/>
  <c r="H192" i="1" s="1"/>
  <c r="G191" i="1"/>
  <c r="H191" i="1" s="1"/>
  <c r="G190" i="1"/>
  <c r="H190" i="1" s="1"/>
  <c r="G189" i="1"/>
  <c r="H189" i="1" s="1"/>
  <c r="G188" i="1"/>
  <c r="H188" i="1" s="1"/>
  <c r="G187" i="1"/>
  <c r="H187" i="1" s="1"/>
  <c r="G186" i="1"/>
  <c r="H186" i="1" s="1"/>
  <c r="G185" i="1"/>
  <c r="H185" i="1" s="1"/>
  <c r="G184" i="1"/>
  <c r="H184" i="1" s="1"/>
  <c r="G183" i="1"/>
  <c r="H183" i="1" s="1"/>
  <c r="G182" i="1"/>
  <c r="H182" i="1" s="1"/>
  <c r="G181" i="1"/>
  <c r="H181" i="1" s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G173" i="1"/>
  <c r="H173" i="1" s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66" i="1"/>
  <c r="H166" i="1" s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H21" i="1" s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H2" i="1" s="1"/>
  <c r="H163" i="1" l="1"/>
  <c r="H161" i="1"/>
  <c r="H160" i="1"/>
  <c r="H158" i="1"/>
  <c r="H155" i="1"/>
  <c r="H153" i="1"/>
  <c r="H152" i="1"/>
  <c r="H150" i="1"/>
  <c r="H148" i="1"/>
  <c r="H147" i="1"/>
  <c r="H145" i="1"/>
  <c r="H131" i="1"/>
  <c r="H130" i="1"/>
  <c r="H127" i="1"/>
  <c r="H115" i="1"/>
  <c r="H114" i="1"/>
  <c r="H113" i="1"/>
  <c r="H110" i="1"/>
  <c r="H107" i="1"/>
  <c r="H104" i="1"/>
  <c r="H102" i="1"/>
  <c r="H100" i="1"/>
  <c r="H97" i="1"/>
  <c r="H95" i="1"/>
  <c r="H93" i="1"/>
  <c r="H91" i="1"/>
  <c r="H89" i="1"/>
  <c r="H87" i="1"/>
  <c r="H85" i="1"/>
  <c r="H84" i="1"/>
  <c r="H83" i="1"/>
  <c r="H80" i="1"/>
  <c r="H79" i="1"/>
  <c r="H73" i="1"/>
  <c r="H71" i="1"/>
  <c r="H70" i="1"/>
  <c r="H67" i="1"/>
  <c r="H62" i="1"/>
  <c r="H61" i="1"/>
  <c r="H56" i="1"/>
  <c r="H53" i="1"/>
  <c r="H50" i="1"/>
  <c r="H47" i="1"/>
  <c r="H44" i="1"/>
  <c r="H41" i="1"/>
  <c r="H38" i="1"/>
  <c r="I38" i="1" s="1"/>
  <c r="H36" i="1"/>
  <c r="I36" i="1" s="1"/>
  <c r="H33" i="1"/>
  <c r="I33" i="1" s="1"/>
  <c r="H24" i="1"/>
  <c r="I24" i="1" s="1"/>
  <c r="H18" i="1"/>
  <c r="I18" i="1" s="1"/>
  <c r="H14" i="1"/>
  <c r="I14" i="1" s="1"/>
  <c r="H13" i="1"/>
  <c r="I13" i="1" s="1"/>
  <c r="H4" i="1"/>
  <c r="I4" i="1" s="1"/>
  <c r="H143" i="1"/>
  <c r="H142" i="1"/>
  <c r="H141" i="1"/>
  <c r="H140" i="1"/>
  <c r="H139" i="1"/>
  <c r="H138" i="1"/>
  <c r="H137" i="1"/>
  <c r="H136" i="1"/>
  <c r="H135" i="1"/>
  <c r="H134" i="1"/>
  <c r="H133" i="1"/>
  <c r="H128" i="1"/>
  <c r="H125" i="1"/>
  <c r="H123" i="1"/>
  <c r="H121" i="1"/>
  <c r="H118" i="1"/>
  <c r="H117" i="1"/>
  <c r="H109" i="1"/>
  <c r="H108" i="1"/>
  <c r="H105" i="1"/>
  <c r="H76" i="1"/>
  <c r="H75" i="1"/>
  <c r="H68" i="1"/>
  <c r="H65" i="1"/>
  <c r="H64" i="1"/>
  <c r="H59" i="1"/>
  <c r="H58" i="1"/>
  <c r="H55" i="1"/>
  <c r="H52" i="1"/>
  <c r="H49" i="1"/>
  <c r="H46" i="1"/>
  <c r="H43" i="1"/>
  <c r="H40" i="1"/>
  <c r="I40" i="1" s="1"/>
  <c r="H35" i="1"/>
  <c r="I35" i="1" s="1"/>
  <c r="H34" i="1"/>
  <c r="I34" i="1" s="1"/>
  <c r="H31" i="1"/>
  <c r="I31" i="1" s="1"/>
  <c r="H30" i="1"/>
  <c r="I30" i="1" s="1"/>
  <c r="H27" i="1"/>
  <c r="I27" i="1" s="1"/>
  <c r="H26" i="1"/>
  <c r="I26" i="1" s="1"/>
  <c r="H23" i="1"/>
  <c r="I23" i="1" s="1"/>
  <c r="H20" i="1"/>
  <c r="I20" i="1" s="1"/>
  <c r="H17" i="1"/>
  <c r="I17" i="1" s="1"/>
  <c r="H6" i="1"/>
  <c r="I6" i="1" s="1"/>
  <c r="H3" i="1"/>
  <c r="I3" i="1" s="1"/>
  <c r="H165" i="1"/>
  <c r="H164" i="1"/>
  <c r="H162" i="1"/>
  <c r="H159" i="1"/>
  <c r="H157" i="1"/>
  <c r="H156" i="1"/>
  <c r="H154" i="1"/>
  <c r="H151" i="1"/>
  <c r="H149" i="1"/>
  <c r="H146" i="1"/>
  <c r="H144" i="1"/>
  <c r="H132" i="1"/>
  <c r="H129" i="1"/>
  <c r="H126" i="1"/>
  <c r="H124" i="1"/>
  <c r="H122" i="1"/>
  <c r="H120" i="1"/>
  <c r="H119" i="1"/>
  <c r="H116" i="1"/>
  <c r="H112" i="1"/>
  <c r="H111" i="1"/>
  <c r="H106" i="1"/>
  <c r="H103" i="1"/>
  <c r="H101" i="1"/>
  <c r="H99" i="1"/>
  <c r="H98" i="1"/>
  <c r="H96" i="1"/>
  <c r="H94" i="1"/>
  <c r="H92" i="1"/>
  <c r="H90" i="1"/>
  <c r="H88" i="1"/>
  <c r="H86" i="1"/>
  <c r="H82" i="1"/>
  <c r="H81" i="1"/>
  <c r="H78" i="1"/>
  <c r="H77" i="1"/>
  <c r="H74" i="1"/>
  <c r="H72" i="1"/>
  <c r="H69" i="1"/>
  <c r="H66" i="1"/>
  <c r="H63" i="1"/>
  <c r="H60" i="1"/>
  <c r="H57" i="1"/>
  <c r="H54" i="1"/>
  <c r="H51" i="1"/>
  <c r="H48" i="1"/>
  <c r="H45" i="1"/>
  <c r="H42" i="1"/>
  <c r="H39" i="1"/>
  <c r="I39" i="1" s="1"/>
  <c r="H37" i="1"/>
  <c r="I37" i="1" s="1"/>
  <c r="H32" i="1"/>
  <c r="I32" i="1" s="1"/>
  <c r="H29" i="1"/>
  <c r="I29" i="1" s="1"/>
  <c r="H28" i="1"/>
  <c r="I28" i="1" s="1"/>
  <c r="H25" i="1"/>
  <c r="I25" i="1" s="1"/>
  <c r="H22" i="1"/>
  <c r="I22" i="1" s="1"/>
  <c r="H19" i="1"/>
  <c r="I19" i="1" s="1"/>
  <c r="H16" i="1"/>
  <c r="I16" i="1" s="1"/>
  <c r="H15" i="1"/>
  <c r="I15" i="1" s="1"/>
  <c r="H12" i="1"/>
  <c r="I12" i="1" s="1"/>
  <c r="H11" i="1"/>
  <c r="I11" i="1" s="1"/>
  <c r="H10" i="1"/>
  <c r="I10" i="1" s="1"/>
  <c r="H9" i="1"/>
  <c r="I9" i="1" s="1"/>
  <c r="H8" i="1"/>
  <c r="I8" i="1" s="1"/>
  <c r="H7" i="1"/>
  <c r="I7" i="1" s="1"/>
  <c r="H5" i="1"/>
  <c r="I5" i="1" s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21" i="1"/>
  <c r="I2" i="1"/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9" i="1"/>
  <c r="J20" i="1"/>
  <c r="J24" i="1"/>
  <c r="J25" i="1"/>
  <c r="J33" i="1"/>
  <c r="J38" i="1"/>
  <c r="J40" i="1"/>
  <c r="J42" i="1"/>
  <c r="J44" i="1"/>
  <c r="J45" i="1"/>
  <c r="J48" i="1"/>
  <c r="J53" i="1"/>
  <c r="J57" i="1"/>
  <c r="J59" i="1"/>
  <c r="J61" i="1"/>
  <c r="J64" i="1"/>
  <c r="J67" i="1"/>
  <c r="J69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2" i="1"/>
  <c r="J26" i="1"/>
  <c r="J27" i="1"/>
  <c r="J28" i="1"/>
  <c r="J29" i="1"/>
  <c r="J30" i="1"/>
  <c r="J31" i="1"/>
  <c r="J32" i="1"/>
  <c r="J36" i="1"/>
  <c r="J41" i="1"/>
  <c r="J43" i="1"/>
  <c r="J46" i="1"/>
  <c r="J49" i="1"/>
  <c r="J50" i="1"/>
  <c r="J51" i="1"/>
  <c r="J52" i="1"/>
  <c r="J54" i="1"/>
  <c r="J55" i="1"/>
  <c r="J56" i="1"/>
  <c r="J58" i="1"/>
  <c r="J63" i="1"/>
  <c r="J65" i="1"/>
  <c r="J68" i="1"/>
  <c r="J70" i="1"/>
  <c r="J71" i="1"/>
  <c r="J72" i="1"/>
  <c r="J259" i="1"/>
  <c r="J260" i="1"/>
  <c r="J263" i="1"/>
  <c r="J265" i="1"/>
  <c r="J269" i="1"/>
  <c r="J270" i="1"/>
  <c r="J271" i="1"/>
  <c r="J274" i="1"/>
  <c r="J276" i="1"/>
  <c r="J277" i="1"/>
  <c r="J279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8" i="1"/>
  <c r="J299" i="1"/>
  <c r="J303" i="1"/>
  <c r="J315" i="1"/>
  <c r="J319" i="1"/>
  <c r="J325" i="1"/>
  <c r="J328" i="1"/>
  <c r="J331" i="1"/>
  <c r="J333" i="1"/>
  <c r="J334" i="1"/>
  <c r="J336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18" i="1"/>
  <c r="J21" i="1"/>
  <c r="J23" i="1"/>
  <c r="J34" i="1"/>
  <c r="J35" i="1"/>
  <c r="J37" i="1"/>
  <c r="J39" i="1"/>
  <c r="J47" i="1"/>
  <c r="J60" i="1"/>
  <c r="J62" i="1"/>
  <c r="J66" i="1"/>
  <c r="J261" i="1"/>
  <c r="J262" i="1"/>
  <c r="J264" i="1"/>
  <c r="J266" i="1"/>
  <c r="J267" i="1"/>
  <c r="J268" i="1"/>
  <c r="J272" i="1"/>
  <c r="J273" i="1"/>
  <c r="J275" i="1"/>
  <c r="J278" i="1"/>
  <c r="J280" i="1"/>
  <c r="J293" i="1"/>
  <c r="J294" i="1"/>
  <c r="J295" i="1"/>
  <c r="J296" i="1"/>
  <c r="J297" i="1"/>
  <c r="J300" i="1"/>
  <c r="J301" i="1"/>
  <c r="J302" i="1"/>
  <c r="J304" i="1"/>
  <c r="J305" i="1"/>
  <c r="J306" i="1"/>
  <c r="J307" i="1"/>
  <c r="J308" i="1"/>
  <c r="J309" i="1"/>
  <c r="J310" i="1"/>
  <c r="J311" i="1"/>
  <c r="J312" i="1"/>
  <c r="J313" i="1"/>
  <c r="J314" i="1"/>
  <c r="J316" i="1"/>
  <c r="J317" i="1"/>
  <c r="J318" i="1"/>
  <c r="J320" i="1"/>
  <c r="J321" i="1"/>
  <c r="J322" i="1"/>
  <c r="J323" i="1"/>
  <c r="J324" i="1"/>
  <c r="J326" i="1"/>
  <c r="J327" i="1"/>
  <c r="J329" i="1"/>
  <c r="J330" i="1"/>
  <c r="J332" i="1"/>
  <c r="J335" i="1"/>
  <c r="J337" i="1"/>
  <c r="J338" i="1"/>
  <c r="J339" i="1"/>
  <c r="J340" i="1"/>
</calcChain>
</file>

<file path=xl/sharedStrings.xml><?xml version="1.0" encoding="utf-8"?>
<sst xmlns="http://schemas.openxmlformats.org/spreadsheetml/2006/main" count="1422" uniqueCount="405">
  <si>
    <t>車站編號</t>
  </si>
  <si>
    <t>車站名稱</t>
  </si>
  <si>
    <t>緯度</t>
  </si>
  <si>
    <t>經度</t>
  </si>
  <si>
    <t>轉乘群組</t>
  </si>
  <si>
    <t>轉乘驗證</t>
  </si>
  <si>
    <t>_CoordinateKey</t>
  </si>
  <si>
    <t>_CoordinateCount</t>
  </si>
  <si>
    <t>_GroupStart</t>
  </si>
  <si>
    <t>_GroupNumber</t>
  </si>
  <si>
    <t>G01</t>
  </si>
  <si>
    <t>G02</t>
  </si>
  <si>
    <t>G03</t>
  </si>
  <si>
    <t>G04</t>
  </si>
  <si>
    <t>G05</t>
  </si>
  <si>
    <t>市政府</t>
  </si>
  <si>
    <t>G07</t>
  </si>
  <si>
    <t>路線編號</t>
  </si>
  <si>
    <t>路線名稱</t>
  </si>
  <si>
    <t>顏色</t>
  </si>
  <si>
    <t>路徑編號</t>
  </si>
  <si>
    <t>順序</t>
  </si>
  <si>
    <t>main</t>
  </si>
  <si>
    <t>環編號</t>
  </si>
  <si>
    <t>環驗證</t>
  </si>
  <si>
    <t>RING_1</t>
  </si>
  <si>
    <t>G06</t>
  </si>
  <si>
    <t>Metro Map Generator - 中文 XLSM 輸入範本</t>
  </si>
  <si>
    <t>「車站」工作表 A-D 欄是使用者輸入欄位；E-F 欄會自動完成。</t>
  </si>
  <si>
    <t>相同經緯度出現 2 個以上不同 Station ID 時，E 欄會自動產生 XFER_001 / XFER_002...。</t>
  </si>
  <si>
    <t>XFER 編號依轉乘群組第一次出現的順序產生，與站名無關。</t>
  </si>
  <si>
    <t>同名站若使用不同經緯度，F 欄會顯示錯誤。</t>
  </si>
  <si>
    <t>此 XLSM 已內建 VBA：開啟並允許巨集後會自動重新完成轉乘群組與驗證。</t>
  </si>
  <si>
    <t>若資料修改後想立即重跑，也可從 Excel 巨集清單執行 CompleteTransfersAndValidate。</t>
  </si>
  <si>
    <t>「路線」工作表仍使用各路線自己的車站編號。</t>
  </si>
  <si>
    <t>網站 topology 優先使用 XFER ID，因此改站名不會破壞已建立的轉乘關係。</t>
  </si>
  <si>
    <t>莫斯科風格請在「莫斯科環」工作表定義環；最多 3 個環，每個環以 環編號 + 順序 + 車站編號 列出。</t>
  </si>
  <si>
    <t>網站匯入後會逐段檢查環是否真的閉合；最後一站必須能直接接回第一站，最多只能使用 RING_1 / RING_2 / RING_3。</t>
  </si>
  <si>
    <t>網站同時相容英文工作表 Stations / Lines 與英文欄位名稱。</t>
  </si>
  <si>
    <t>XFER_001</t>
  </si>
  <si>
    <t>正常 - XFER_001</t>
  </si>
  <si>
    <t>XFER_003</t>
  </si>
  <si>
    <t>正常 - XFER_003</t>
  </si>
  <si>
    <t>BR01</t>
  </si>
  <si>
    <t>動物園</t>
  </si>
  <si>
    <t>BR02</t>
  </si>
  <si>
    <t>木柵</t>
  </si>
  <si>
    <t>BR03</t>
  </si>
  <si>
    <t>萬芳社區</t>
  </si>
  <si>
    <t>BR04</t>
  </si>
  <si>
    <t>萬芳醫院</t>
  </si>
  <si>
    <t>BR05</t>
  </si>
  <si>
    <t>辛亥</t>
  </si>
  <si>
    <t>BR06</t>
  </si>
  <si>
    <t>麟光</t>
  </si>
  <si>
    <t>BR07</t>
  </si>
  <si>
    <t>六張犁</t>
  </si>
  <si>
    <t>BR08</t>
  </si>
  <si>
    <t>科技大樓</t>
  </si>
  <si>
    <t>BR09</t>
  </si>
  <si>
    <t>大安</t>
  </si>
  <si>
    <t>BR10</t>
  </si>
  <si>
    <t>忠孝復興</t>
  </si>
  <si>
    <t>BR11</t>
  </si>
  <si>
    <t>南京復興</t>
  </si>
  <si>
    <t>BR12</t>
  </si>
  <si>
    <t>中山國中</t>
  </si>
  <si>
    <t>BR13</t>
  </si>
  <si>
    <t>松山機場</t>
  </si>
  <si>
    <t>BR14</t>
  </si>
  <si>
    <t>大直</t>
  </si>
  <si>
    <t>BR15</t>
  </si>
  <si>
    <t>劍南路</t>
  </si>
  <si>
    <t>BR16</t>
  </si>
  <si>
    <t>西湖</t>
  </si>
  <si>
    <t>BR17</t>
  </si>
  <si>
    <t>港墘</t>
  </si>
  <si>
    <t>BR18</t>
  </si>
  <si>
    <t>文德</t>
  </si>
  <si>
    <t>BR19</t>
  </si>
  <si>
    <t>內湖</t>
  </si>
  <si>
    <t>BR20</t>
  </si>
  <si>
    <t>大湖公園</t>
  </si>
  <si>
    <t>BR21</t>
  </si>
  <si>
    <t>葫洲</t>
  </si>
  <si>
    <t>BR22</t>
  </si>
  <si>
    <t>東湖</t>
  </si>
  <si>
    <t>BR23</t>
  </si>
  <si>
    <t>南港軟體園區</t>
  </si>
  <si>
    <t>BR24</t>
  </si>
  <si>
    <t>南港展覽館</t>
  </si>
  <si>
    <t>R01 </t>
  </si>
  <si>
    <t>廣慈/奉天宮</t>
  </si>
  <si>
    <t>R02</t>
  </si>
  <si>
    <t>象山</t>
  </si>
  <si>
    <t>R03</t>
  </si>
  <si>
    <t>台北101/世貿</t>
  </si>
  <si>
    <t>R04</t>
  </si>
  <si>
    <t>信義安和</t>
  </si>
  <si>
    <t>R05</t>
  </si>
  <si>
    <t>R06</t>
  </si>
  <si>
    <t>大安森林公園</t>
  </si>
  <si>
    <t>R07</t>
  </si>
  <si>
    <t>東門</t>
  </si>
  <si>
    <t>R08</t>
  </si>
  <si>
    <t>中正紀念堂</t>
  </si>
  <si>
    <t>R09</t>
  </si>
  <si>
    <t>台大醫院</t>
  </si>
  <si>
    <t>R10</t>
  </si>
  <si>
    <t>台北車站</t>
  </si>
  <si>
    <t>R11</t>
  </si>
  <si>
    <t>中山</t>
  </si>
  <si>
    <t>R12</t>
  </si>
  <si>
    <t>雙連</t>
  </si>
  <si>
    <t>R13</t>
  </si>
  <si>
    <t>民權西路</t>
  </si>
  <si>
    <t>R14</t>
  </si>
  <si>
    <t>圓山</t>
  </si>
  <si>
    <t>R15</t>
  </si>
  <si>
    <t>劍潭</t>
  </si>
  <si>
    <t>R16</t>
  </si>
  <si>
    <t>士林</t>
  </si>
  <si>
    <t>R17</t>
  </si>
  <si>
    <t>芝山</t>
  </si>
  <si>
    <t>R18</t>
  </si>
  <si>
    <t>明德</t>
  </si>
  <si>
    <t>R19</t>
  </si>
  <si>
    <t>石牌</t>
  </si>
  <si>
    <t>R20</t>
  </si>
  <si>
    <t>唭哩岸</t>
  </si>
  <si>
    <t>R21</t>
  </si>
  <si>
    <t>奇岩</t>
  </si>
  <si>
    <t>R22</t>
  </si>
  <si>
    <t>北投</t>
  </si>
  <si>
    <t>R22A</t>
  </si>
  <si>
    <t>新北投</t>
  </si>
  <si>
    <t>R23</t>
  </si>
  <si>
    <t>復興崗</t>
  </si>
  <si>
    <t>R24</t>
  </si>
  <si>
    <t>忠義</t>
  </si>
  <si>
    <t>R25</t>
  </si>
  <si>
    <t>關渡</t>
  </si>
  <si>
    <t>R26</t>
  </si>
  <si>
    <t>竹圍</t>
  </si>
  <si>
    <t>R27</t>
  </si>
  <si>
    <t>紅樹林</t>
  </si>
  <si>
    <t>R28</t>
  </si>
  <si>
    <t>淡水</t>
  </si>
  <si>
    <t>新店</t>
  </si>
  <si>
    <t>新店區公所</t>
  </si>
  <si>
    <t>七張</t>
  </si>
  <si>
    <t>G03A</t>
  </si>
  <si>
    <t>小碧潭</t>
  </si>
  <si>
    <t>大坪林</t>
  </si>
  <si>
    <t>景美</t>
  </si>
  <si>
    <t>萬隆</t>
  </si>
  <si>
    <t>公館</t>
  </si>
  <si>
    <t>G08</t>
  </si>
  <si>
    <t>台電大樓</t>
  </si>
  <si>
    <t>G09</t>
  </si>
  <si>
    <t>古亭</t>
  </si>
  <si>
    <t>G10</t>
  </si>
  <si>
    <t>G11</t>
  </si>
  <si>
    <t>小南門</t>
  </si>
  <si>
    <t>G12</t>
  </si>
  <si>
    <t>西門</t>
  </si>
  <si>
    <t>G13</t>
  </si>
  <si>
    <t>北門</t>
  </si>
  <si>
    <t>G14</t>
  </si>
  <si>
    <t>G15</t>
  </si>
  <si>
    <t>松江南京</t>
  </si>
  <si>
    <t>G16</t>
  </si>
  <si>
    <t>G17</t>
  </si>
  <si>
    <t>台北小巨蛋</t>
  </si>
  <si>
    <t>G18</t>
  </si>
  <si>
    <t>南京三民</t>
  </si>
  <si>
    <t>G19</t>
  </si>
  <si>
    <t>松山</t>
  </si>
  <si>
    <t>O01</t>
  </si>
  <si>
    <t>南勢角</t>
  </si>
  <si>
    <t>O02</t>
  </si>
  <si>
    <t>景安</t>
  </si>
  <si>
    <t>O03</t>
  </si>
  <si>
    <t>永安市場</t>
  </si>
  <si>
    <t>O04</t>
  </si>
  <si>
    <t>頂溪</t>
  </si>
  <si>
    <t>O05</t>
  </si>
  <si>
    <t>O06</t>
  </si>
  <si>
    <t>O07</t>
  </si>
  <si>
    <t>忠孝新生</t>
  </si>
  <si>
    <t>O08</t>
  </si>
  <si>
    <t>O09</t>
  </si>
  <si>
    <t>行天宮</t>
  </si>
  <si>
    <t>O10</t>
  </si>
  <si>
    <t>中山國小</t>
  </si>
  <si>
    <t>O11</t>
  </si>
  <si>
    <t>O12</t>
  </si>
  <si>
    <t>大橋頭</t>
  </si>
  <si>
    <t>O13</t>
  </si>
  <si>
    <t>台北橋</t>
  </si>
  <si>
    <t>O14</t>
  </si>
  <si>
    <t>菜寮</t>
  </si>
  <si>
    <t>O15</t>
  </si>
  <si>
    <t>三重</t>
  </si>
  <si>
    <t>O16</t>
  </si>
  <si>
    <t>先嗇宮</t>
  </si>
  <si>
    <t>O17</t>
  </si>
  <si>
    <t>頭前庄</t>
  </si>
  <si>
    <t>O18</t>
  </si>
  <si>
    <t>新莊</t>
  </si>
  <si>
    <t>O19</t>
  </si>
  <si>
    <t>輔大</t>
  </si>
  <si>
    <t>O20</t>
  </si>
  <si>
    <t>丹鳳</t>
  </si>
  <si>
    <t>O21</t>
  </si>
  <si>
    <t>迴龍</t>
  </si>
  <si>
    <t>O50</t>
  </si>
  <si>
    <t>三重國小</t>
  </si>
  <si>
    <t>O51</t>
  </si>
  <si>
    <t>三和國中</t>
  </si>
  <si>
    <t>O52</t>
  </si>
  <si>
    <t>徐匯中學</t>
  </si>
  <si>
    <t>O53</t>
  </si>
  <si>
    <t>三民高中</t>
  </si>
  <si>
    <t>O54</t>
  </si>
  <si>
    <t>蘆洲</t>
  </si>
  <si>
    <t>BL01</t>
  </si>
  <si>
    <t>頂埔</t>
  </si>
  <si>
    <t>BL02</t>
  </si>
  <si>
    <t>永寧</t>
  </si>
  <si>
    <t>BL03</t>
  </si>
  <si>
    <t>土城</t>
  </si>
  <si>
    <t>BL04</t>
  </si>
  <si>
    <t>海山</t>
  </si>
  <si>
    <t>BL05</t>
  </si>
  <si>
    <t>亞東醫院</t>
  </si>
  <si>
    <t>BL06</t>
  </si>
  <si>
    <t>府中</t>
  </si>
  <si>
    <t>BL07</t>
  </si>
  <si>
    <t>板橋</t>
  </si>
  <si>
    <t>BL08</t>
  </si>
  <si>
    <t>新埔</t>
  </si>
  <si>
    <t>BL09</t>
  </si>
  <si>
    <t>江子翠</t>
  </si>
  <si>
    <t>BL10</t>
  </si>
  <si>
    <t>龍山寺</t>
  </si>
  <si>
    <t>BL11</t>
  </si>
  <si>
    <t>BL12</t>
  </si>
  <si>
    <t>BL13</t>
  </si>
  <si>
    <t>善導寺</t>
  </si>
  <si>
    <t>BL14</t>
  </si>
  <si>
    <t>BL15</t>
  </si>
  <si>
    <t>BL16</t>
  </si>
  <si>
    <t>忠孝敦化</t>
  </si>
  <si>
    <t>BL17</t>
  </si>
  <si>
    <t>國父紀念館</t>
  </si>
  <si>
    <t>BL18</t>
  </si>
  <si>
    <t>BL19</t>
  </si>
  <si>
    <t>永春</t>
  </si>
  <si>
    <t>BL20</t>
  </si>
  <si>
    <t>後山埤</t>
  </si>
  <si>
    <t>BL21</t>
  </si>
  <si>
    <t>昆陽</t>
  </si>
  <si>
    <t>BL22</t>
  </si>
  <si>
    <t>南港</t>
  </si>
  <si>
    <t>BL23</t>
  </si>
  <si>
    <t>Y01 </t>
  </si>
  <si>
    <t>Y02</t>
  </si>
  <si>
    <t>政大</t>
  </si>
  <si>
    <t>Y03</t>
  </si>
  <si>
    <t>文山區公所</t>
  </si>
  <si>
    <t>Y04</t>
  </si>
  <si>
    <t>馬明潭</t>
  </si>
  <si>
    <t>Y05</t>
  </si>
  <si>
    <t>溝子口</t>
  </si>
  <si>
    <t>Y06</t>
  </si>
  <si>
    <t>寶斗厝</t>
  </si>
  <si>
    <t>Y07</t>
  </si>
  <si>
    <t>Y08</t>
  </si>
  <si>
    <t>十四張</t>
  </si>
  <si>
    <t>Y09</t>
  </si>
  <si>
    <t>秀朗橋</t>
  </si>
  <si>
    <t>Y10</t>
  </si>
  <si>
    <t>景平</t>
  </si>
  <si>
    <t>Y11</t>
  </si>
  <si>
    <t>Y12</t>
  </si>
  <si>
    <t>中和</t>
  </si>
  <si>
    <t>Y13</t>
  </si>
  <si>
    <t>橋和</t>
  </si>
  <si>
    <t>Y14</t>
  </si>
  <si>
    <t>中原</t>
  </si>
  <si>
    <t>Y15</t>
  </si>
  <si>
    <t>板新</t>
  </si>
  <si>
    <t>Y16</t>
  </si>
  <si>
    <t>Y17</t>
  </si>
  <si>
    <t>新埔民生</t>
  </si>
  <si>
    <t>Y18</t>
  </si>
  <si>
    <t>Y19</t>
  </si>
  <si>
    <t>幸福</t>
  </si>
  <si>
    <t>Y20</t>
  </si>
  <si>
    <t>新北產業園區</t>
  </si>
  <si>
    <t>Y21</t>
  </si>
  <si>
    <t>工商展覽中心</t>
  </si>
  <si>
    <t>Y22</t>
  </si>
  <si>
    <t>更寮</t>
  </si>
  <si>
    <t>Y23</t>
  </si>
  <si>
    <t>得仁</t>
  </si>
  <si>
    <t>Y24</t>
  </si>
  <si>
    <t>Y25</t>
  </si>
  <si>
    <t>分子尾</t>
  </si>
  <si>
    <t>Y26</t>
  </si>
  <si>
    <t>五華</t>
  </si>
  <si>
    <t>Y27</t>
  </si>
  <si>
    <t>社子</t>
  </si>
  <si>
    <t>Y28</t>
  </si>
  <si>
    <t>士林區公所</t>
  </si>
  <si>
    <t>Y29</t>
  </si>
  <si>
    <t>Y30</t>
  </si>
  <si>
    <t>士林官邸</t>
  </si>
  <si>
    <t>Y31</t>
  </si>
  <si>
    <t>故宮</t>
  </si>
  <si>
    <t>Y32</t>
  </si>
  <si>
    <t>Y33</t>
  </si>
  <si>
    <t>下塔悠</t>
  </si>
  <si>
    <t>Y34</t>
  </si>
  <si>
    <t>洲子</t>
  </si>
  <si>
    <t>Y35</t>
  </si>
  <si>
    <t>內湖科學園區</t>
  </si>
  <si>
    <t>Y36</t>
  </si>
  <si>
    <t>瑞光公園</t>
  </si>
  <si>
    <t>Y37</t>
  </si>
  <si>
    <t>粉寮</t>
  </si>
  <si>
    <t>Y38</t>
  </si>
  <si>
    <t>舊宗</t>
  </si>
  <si>
    <t>Y39</t>
  </si>
  <si>
    <t>Y40</t>
  </si>
  <si>
    <t>Y41</t>
  </si>
  <si>
    <t>Y42</t>
  </si>
  <si>
    <t>三張犁</t>
  </si>
  <si>
    <t>TPE_BR</t>
  </si>
  <si>
    <t>文湖線</t>
  </si>
  <si>
    <t>#C48C31</t>
  </si>
  <si>
    <t>TPE_R</t>
  </si>
  <si>
    <t>淡水信義線</t>
  </si>
  <si>
    <t>#E3002C</t>
  </si>
  <si>
    <t>#FD92A3</t>
  </si>
  <si>
    <t>branch</t>
  </si>
  <si>
    <t>TPE_G</t>
  </si>
  <si>
    <t>松山新店線</t>
  </si>
  <si>
    <t>#008659</t>
  </si>
  <si>
    <t>#CFDB00</t>
  </si>
  <si>
    <t>TPE_O</t>
  </si>
  <si>
    <t>中和新蘆線</t>
  </si>
  <si>
    <t>#F8B61C</t>
  </si>
  <si>
    <t>TPE_BL</t>
  </si>
  <si>
    <t>板南線</t>
  </si>
  <si>
    <t>#0070BD</t>
  </si>
  <si>
    <t>TPE_Y</t>
  </si>
  <si>
    <t>環狀線</t>
  </si>
  <si>
    <t>#FFDB00</t>
  </si>
  <si>
    <t>XFER_004</t>
  </si>
  <si>
    <t>正常 - XFER_004</t>
  </si>
  <si>
    <t>XFER_005</t>
  </si>
  <si>
    <t>正常 - XFER_005</t>
  </si>
  <si>
    <t>XFER_006</t>
  </si>
  <si>
    <t>正常 - XFER_006</t>
  </si>
  <si>
    <t>XFER_007</t>
  </si>
  <si>
    <t>正常 - XFER_007</t>
  </si>
  <si>
    <t>XFER_008</t>
  </si>
  <si>
    <t>正常 - XFER_008</t>
  </si>
  <si>
    <t>XFER_009</t>
  </si>
  <si>
    <t>正常 - XFER_009</t>
  </si>
  <si>
    <t>XFER_010</t>
  </si>
  <si>
    <t>正常 - XFER_010</t>
  </si>
  <si>
    <t>XFER_011</t>
  </si>
  <si>
    <t>正常 - XFER_011</t>
  </si>
  <si>
    <t>XFER_012</t>
  </si>
  <si>
    <t>正常 - XFER_012</t>
  </si>
  <si>
    <t>XFER_013</t>
  </si>
  <si>
    <t>正常 - XFER_013</t>
  </si>
  <si>
    <t>XFER_014</t>
  </si>
  <si>
    <t>正常 - XFER_014</t>
  </si>
  <si>
    <t>XFER_015</t>
  </si>
  <si>
    <t>正常 - XFER_015</t>
  </si>
  <si>
    <t>XFER_016</t>
  </si>
  <si>
    <t>正常 - XFER_016</t>
  </si>
  <si>
    <t>XFER_017</t>
  </si>
  <si>
    <t>正常 - XFER_017</t>
  </si>
  <si>
    <t>XFER_018</t>
  </si>
  <si>
    <t>正常 - XFER_018</t>
  </si>
  <si>
    <t>XFER_019</t>
  </si>
  <si>
    <t>正常 - XFER_019</t>
  </si>
  <si>
    <t>XFER_020</t>
  </si>
  <si>
    <t>正常 - XFER_020</t>
  </si>
  <si>
    <t>XFER_021</t>
  </si>
  <si>
    <t>正常 - XFER_021</t>
  </si>
  <si>
    <t>XFER_022</t>
  </si>
  <si>
    <t>正常 - XFER_022</t>
  </si>
  <si>
    <t>XFER_023</t>
  </si>
  <si>
    <t>正常 - XFER_023</t>
  </si>
  <si>
    <t>XFER_024</t>
  </si>
  <si>
    <t>正常 - XFER_024</t>
  </si>
  <si>
    <t>OK - Closed ring</t>
  </si>
  <si>
    <t>XFER_002</t>
  </si>
  <si>
    <t>正常 - XFER_002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</si>
</sst>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11827"/>
      </patternFill>
    </fill>
    <fill>
      <patternFill patternType="solid">
        <fgColor rgb="FFF1F5F9"/>
      </patternFill>
    </fill>
    <fill>
      <patternFill patternType="solid">
        <fgColor rgb="FF7C3AED"/>
      </patternFill>
    </fill>
    <fill>
      <patternFill patternType="solid">
        <fgColor rgb="FFDCFCE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0" fontId="0" fillId="3" borderId="0" xfId="0" applyFill="1"/>
    <xf numFmtId="0" fontId="1" fillId="4" borderId="0" xfId="0" applyFont="1" applyFill="1"/>
    <xf numFmtId="0" fontId="2" fillId="2" borderId="0" xfId="0" applyFont="1" applyFill="1"/>
    <xf numFmtId="0" fontId="0" fillId="5" borderId="0" xfId="0" applyFill="1"/>
    <xf numFmtId="164" fontId="0" fillId="5" borderId="0" xfId="0" applyNumberFormat="1" applyFill="1"/>
    <xf numFmtId="0" fontId="0" fillId="5" borderId="0" xfId="0" applyFill="1" applyAlignment="1">
      <alignment vertical="center"/>
    </xf>
    <xf numFmtId="0" fontId="3" fillId="5" borderId="0" xfId="0" applyFont="1" applyFill="1" applyAlignment="1">
      <alignment vertical="center"/>
    </xf>
    <xf numFmtId="0" fontId="0" fillId="0" borderId="0" xfId="0" applyFill="1"/>
    <xf numFmtId="164" fontId="0" fillId="0" borderId="0" xfId="0" applyNumberFormat="1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500"/>
  <sheetViews>
    <sheetView tabSelected="1" workbookViewId="0">
      <pane ySplit="1" topLeftCell="A2" activePane="bottomLeft" state="frozen"/>
      <selection pane="bottomLeft" activeCell="N303" sqref="N303"/>
    </sheetView>
  </sheetViews>
  <sheetFormatPr defaultRowHeight="15" x14ac:dyDescent="0.25"/>
  <cols>
    <col min="1" max="1" width="14" customWidth="1"/>
    <col min="2" max="2" width="24" customWidth="1"/>
    <col min="3" max="4" width="14" style="1" customWidth="1"/>
    <col min="5" max="5" width="18" customWidth="1"/>
    <col min="6" max="6" width="30" customWidth="1"/>
    <col min="7" max="7" width="18" hidden="1" customWidth="1"/>
    <col min="8" max="8" width="14" hidden="1" customWidth="1"/>
    <col min="9" max="10" width="12" hidden="1" customWidth="1"/>
  </cols>
  <sheetData>
    <row r="1" spans="1:10" s="2" customFormat="1" x14ac:dyDescent="0.25">
      <c r="A1" s="2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5">
      <c r="A2" s="7" t="s">
        <v>43</v>
      </c>
      <c r="B2" s="7" t="s">
        <v>44</v>
      </c>
      <c r="C2" s="8">
        <v>24.998197000000001</v>
      </c>
      <c r="D2" s="8">
        <v>121.57933800000001</v>
      </c>
      <c r="E2" s="7" t="s">
        <v>39</v>
      </c>
      <c r="F2" s="7" t="s">
        <v>40</v>
      </c>
      <c r="G2" t="str">
        <f t="shared" ref="G2:G65" si="0">IF(OR(C2="",D2=""),"",TEXT(C2,"0.0000000")&amp;"|"&amp;TEXT(D2,"0.0000000"))</f>
        <v>24.9981970|121.5793380</v>
      </c>
      <c r="H2">
        <f t="shared" ref="H2:H65" si="1">IF(G2="","",COUNTIF($G$2:$G$500,G2))</f>
        <v>2</v>
      </c>
      <c r="I2">
        <f>IF(AND(H2&gt;1,COUNTIF($G$2:G2,G2)=1),1,0)</f>
        <v>1</v>
      </c>
      <c r="J2">
        <f>SUM($I$2:I2)</f>
        <v>1</v>
      </c>
    </row>
    <row r="3" spans="1:10" x14ac:dyDescent="0.25">
      <c r="A3" s="11" t="s">
        <v>45</v>
      </c>
      <c r="B3" s="11" t="s">
        <v>46</v>
      </c>
      <c r="C3" s="12">
        <v>24.998241</v>
      </c>
      <c r="D3" s="12">
        <v>121.573145</v>
      </c>
      <c r="E3" s="11"/>
      <c r="F3" s="11"/>
      <c r="G3" t="str">
        <f t="shared" si="0"/>
        <v>24.9982410|121.5731450</v>
      </c>
      <c r="H3">
        <f t="shared" si="1"/>
        <v>1</v>
      </c>
      <c r="I3">
        <f>IF(AND(H3&gt;1,COUNTIF($G$2:G3,G3)=1),1,0)</f>
        <v>0</v>
      </c>
      <c r="J3">
        <f>SUM($I$2:I3)</f>
        <v>1</v>
      </c>
    </row>
    <row r="4" spans="1:10" x14ac:dyDescent="0.25">
      <c r="A4" s="11" t="s">
        <v>47</v>
      </c>
      <c r="B4" s="11" t="s">
        <v>48</v>
      </c>
      <c r="C4" s="12">
        <v>24.998584999999999</v>
      </c>
      <c r="D4" s="12">
        <v>121.568102</v>
      </c>
      <c r="E4" s="11"/>
      <c r="F4" s="11"/>
      <c r="G4" t="str">
        <f t="shared" si="0"/>
        <v>24.9985850|121.5681020</v>
      </c>
      <c r="H4">
        <f t="shared" si="1"/>
        <v>1</v>
      </c>
      <c r="I4">
        <f>IF(AND(H4&gt;1,COUNTIF($G$2:G4,G4)=1),1,0)</f>
        <v>0</v>
      </c>
      <c r="J4">
        <f>SUM($I$2:I4)</f>
        <v>1</v>
      </c>
    </row>
    <row r="5" spans="1:10" x14ac:dyDescent="0.25">
      <c r="A5" s="11" t="s">
        <v>49</v>
      </c>
      <c r="B5" s="11" t="s">
        <v>50</v>
      </c>
      <c r="C5" s="12">
        <v>24.999386000000001</v>
      </c>
      <c r="D5" s="12">
        <v>121.55815200000001</v>
      </c>
      <c r="E5" s="11"/>
      <c r="F5" s="11"/>
      <c r="G5" t="str">
        <f t="shared" si="0"/>
        <v>24.9993860|121.5581520</v>
      </c>
      <c r="H5">
        <f t="shared" si="1"/>
        <v>1</v>
      </c>
      <c r="I5">
        <f>IF(AND(H5&gt;1,COUNTIF($G$2:G5,G5)=1),1,0)</f>
        <v>0</v>
      </c>
      <c r="J5">
        <f>SUM($I$2:I5)</f>
        <v>1</v>
      </c>
    </row>
    <row r="6" spans="1:10" x14ac:dyDescent="0.25">
      <c r="A6" s="11" t="s">
        <v>51</v>
      </c>
      <c r="B6" s="11" t="s">
        <v>52</v>
      </c>
      <c r="C6" s="12">
        <v>25.005475000000001</v>
      </c>
      <c r="D6" s="12">
        <v>121.557107</v>
      </c>
      <c r="E6" s="11"/>
      <c r="F6" s="11"/>
      <c r="G6" t="str">
        <f t="shared" si="0"/>
        <v>25.0054750|121.5571070</v>
      </c>
      <c r="H6">
        <f t="shared" si="1"/>
        <v>1</v>
      </c>
      <c r="I6">
        <f>IF(AND(H6&gt;1,COUNTIF($G$2:G6,G6)=1),1,0)</f>
        <v>0</v>
      </c>
      <c r="J6">
        <f>SUM($I$2:I6)</f>
        <v>1</v>
      </c>
    </row>
    <row r="7" spans="1:10" x14ac:dyDescent="0.25">
      <c r="A7" s="11" t="s">
        <v>53</v>
      </c>
      <c r="B7" s="11" t="s">
        <v>54</v>
      </c>
      <c r="C7" s="12">
        <v>25.018535</v>
      </c>
      <c r="D7" s="12">
        <v>121.558791</v>
      </c>
      <c r="E7" s="11"/>
      <c r="F7" s="11"/>
      <c r="G7" t="str">
        <f t="shared" si="0"/>
        <v>25.0185350|121.5587910</v>
      </c>
      <c r="H7">
        <f t="shared" si="1"/>
        <v>1</v>
      </c>
      <c r="I7">
        <f>IF(AND(H7&gt;1,COUNTIF($G$2:G7,G7)=1),1,0)</f>
        <v>0</v>
      </c>
      <c r="J7">
        <f>SUM($I$2:I7)</f>
        <v>1</v>
      </c>
    </row>
    <row r="8" spans="1:10" x14ac:dyDescent="0.25">
      <c r="A8" s="11" t="s">
        <v>55</v>
      </c>
      <c r="B8" s="11" t="s">
        <v>56</v>
      </c>
      <c r="C8" s="12">
        <v>25.023776999999999</v>
      </c>
      <c r="D8" s="12">
        <v>121.55311500000001</v>
      </c>
      <c r="E8" s="11"/>
      <c r="F8" s="11"/>
      <c r="G8" t="str">
        <f t="shared" si="0"/>
        <v>25.0237770|121.5531150</v>
      </c>
      <c r="H8">
        <f t="shared" si="1"/>
        <v>1</v>
      </c>
      <c r="I8">
        <f>IF(AND(H8&gt;1,COUNTIF($G$2:G8,G8)=1),1,0)</f>
        <v>0</v>
      </c>
      <c r="J8">
        <f>SUM($I$2:I8)</f>
        <v>1</v>
      </c>
    </row>
    <row r="9" spans="1:10" x14ac:dyDescent="0.25">
      <c r="A9" s="11" t="s">
        <v>57</v>
      </c>
      <c r="B9" s="11" t="s">
        <v>58</v>
      </c>
      <c r="C9" s="12">
        <v>25.026125</v>
      </c>
      <c r="D9" s="12">
        <v>121.543437</v>
      </c>
      <c r="E9" s="11"/>
      <c r="F9" s="11"/>
      <c r="G9" t="str">
        <f t="shared" si="0"/>
        <v>25.0261250|121.5434370</v>
      </c>
      <c r="H9">
        <f t="shared" si="1"/>
        <v>1</v>
      </c>
      <c r="I9">
        <f>IF(AND(H9&gt;1,COUNTIF($G$2:G9,G9)=1),1,0)</f>
        <v>0</v>
      </c>
      <c r="J9">
        <f>SUM($I$2:I9)</f>
        <v>1</v>
      </c>
    </row>
    <row r="10" spans="1:10" x14ac:dyDescent="0.25">
      <c r="A10" s="7" t="s">
        <v>59</v>
      </c>
      <c r="B10" s="7" t="s">
        <v>60</v>
      </c>
      <c r="C10" s="8">
        <v>25.032943</v>
      </c>
      <c r="D10" s="8">
        <v>121.54355099999999</v>
      </c>
      <c r="E10" s="7" t="s">
        <v>403</v>
      </c>
      <c r="F10" s="7" t="s">
        <v>404</v>
      </c>
      <c r="G10" t="str">
        <f t="shared" si="0"/>
        <v>25.0329430|121.5435510</v>
      </c>
      <c r="H10">
        <f t="shared" si="1"/>
        <v>2</v>
      </c>
      <c r="I10">
        <f>IF(AND(H10&gt;1,COUNTIF($G$2:G10,G10)=1),1,0)</f>
        <v>1</v>
      </c>
      <c r="J10">
        <f>SUM($I$2:I10)</f>
        <v>2</v>
      </c>
    </row>
    <row r="11" spans="1:10" x14ac:dyDescent="0.25">
      <c r="A11" s="7" t="s">
        <v>61</v>
      </c>
      <c r="B11" s="7" t="s">
        <v>62</v>
      </c>
      <c r="C11" s="8">
        <v>25.041629</v>
      </c>
      <c r="D11" s="8">
        <v>121.543767</v>
      </c>
      <c r="E11" s="7" t="s">
        <v>41</v>
      </c>
      <c r="F11" s="7" t="s">
        <v>42</v>
      </c>
      <c r="G11" t="str">
        <f t="shared" si="0"/>
        <v>25.0416290|121.5437670</v>
      </c>
      <c r="H11">
        <f t="shared" si="1"/>
        <v>2</v>
      </c>
      <c r="I11">
        <f>IF(AND(H11&gt;1,COUNTIF($G$2:G11,G11)=1),1,0)</f>
        <v>1</v>
      </c>
      <c r="J11">
        <f>SUM($I$2:I11)</f>
        <v>3</v>
      </c>
    </row>
    <row r="12" spans="1:10" x14ac:dyDescent="0.25">
      <c r="A12" s="7" t="s">
        <v>63</v>
      </c>
      <c r="B12" s="7" t="s">
        <v>64</v>
      </c>
      <c r="C12" s="8">
        <v>25.052319000000001</v>
      </c>
      <c r="D12" s="8">
        <v>121.544011</v>
      </c>
      <c r="E12" s="7" t="s">
        <v>360</v>
      </c>
      <c r="F12" s="7" t="s">
        <v>361</v>
      </c>
      <c r="G12" t="str">
        <f t="shared" si="0"/>
        <v>25.0523190|121.5440110</v>
      </c>
      <c r="H12">
        <f t="shared" si="1"/>
        <v>2</v>
      </c>
      <c r="I12">
        <f>IF(AND(H12&gt;1,COUNTIF($G$2:G12,G12)=1),1,0)</f>
        <v>1</v>
      </c>
      <c r="J12">
        <f>SUM($I$2:I12)</f>
        <v>4</v>
      </c>
    </row>
    <row r="13" spans="1:10" x14ac:dyDescent="0.25">
      <c r="A13" s="11" t="s">
        <v>65</v>
      </c>
      <c r="B13" s="11" t="s">
        <v>66</v>
      </c>
      <c r="C13" s="12">
        <v>25.060849000000001</v>
      </c>
      <c r="D13" s="12">
        <v>121.54422700000001</v>
      </c>
      <c r="E13" s="11"/>
      <c r="F13" s="11"/>
      <c r="G13" t="str">
        <f t="shared" si="0"/>
        <v>25.0608490|121.5442270</v>
      </c>
      <c r="H13">
        <f t="shared" si="1"/>
        <v>1</v>
      </c>
      <c r="I13">
        <f>IF(AND(H13&gt;1,COUNTIF($G$2:G13,G13)=1),1,0)</f>
        <v>0</v>
      </c>
      <c r="J13">
        <f>SUM($I$2:I13)</f>
        <v>4</v>
      </c>
    </row>
    <row r="14" spans="1:10" x14ac:dyDescent="0.25">
      <c r="A14" s="11" t="s">
        <v>67</v>
      </c>
      <c r="B14" s="11" t="s">
        <v>68</v>
      </c>
      <c r="C14" s="12">
        <v>25.062999999999999</v>
      </c>
      <c r="D14" s="12">
        <v>121.551996</v>
      </c>
      <c r="E14" s="11"/>
      <c r="F14" s="11"/>
      <c r="G14" t="str">
        <f t="shared" si="0"/>
        <v>25.0630000|121.5519960</v>
      </c>
      <c r="H14">
        <f t="shared" si="1"/>
        <v>1</v>
      </c>
      <c r="I14">
        <f>IF(AND(H14&gt;1,COUNTIF($G$2:G14,G14)=1),1,0)</f>
        <v>0</v>
      </c>
      <c r="J14">
        <f>SUM($I$2:I14)</f>
        <v>4</v>
      </c>
    </row>
    <row r="15" spans="1:10" x14ac:dyDescent="0.25">
      <c r="A15" s="11" t="s">
        <v>69</v>
      </c>
      <c r="B15" s="11" t="s">
        <v>70</v>
      </c>
      <c r="C15" s="12">
        <v>25.079477000000001</v>
      </c>
      <c r="D15" s="12">
        <v>121.54689500000001</v>
      </c>
      <c r="E15" s="11"/>
      <c r="F15" s="11"/>
      <c r="G15" t="str">
        <f t="shared" si="0"/>
        <v>25.0794770|121.5468950</v>
      </c>
      <c r="H15">
        <f t="shared" si="1"/>
        <v>1</v>
      </c>
      <c r="I15">
        <f>IF(AND(H15&gt;1,COUNTIF($G$2:G15,G15)=1),1,0)</f>
        <v>0</v>
      </c>
      <c r="J15">
        <f>SUM($I$2:I15)</f>
        <v>4</v>
      </c>
    </row>
    <row r="16" spans="1:10" x14ac:dyDescent="0.25">
      <c r="A16" s="7" t="s">
        <v>71</v>
      </c>
      <c r="B16" s="7" t="s">
        <v>72</v>
      </c>
      <c r="C16" s="8">
        <v>25.084852999999999</v>
      </c>
      <c r="D16" s="8">
        <v>121.555592</v>
      </c>
      <c r="E16" s="7" t="s">
        <v>362</v>
      </c>
      <c r="F16" s="7" t="s">
        <v>363</v>
      </c>
      <c r="G16" t="str">
        <f t="shared" si="0"/>
        <v>25.0848530|121.5555920</v>
      </c>
      <c r="H16">
        <f t="shared" si="1"/>
        <v>2</v>
      </c>
      <c r="I16">
        <f>IF(AND(H16&gt;1,COUNTIF($G$2:G16,G16)=1),1,0)</f>
        <v>1</v>
      </c>
      <c r="J16">
        <f>SUM($I$2:I16)</f>
        <v>5</v>
      </c>
    </row>
    <row r="17" spans="1:10" x14ac:dyDescent="0.25">
      <c r="A17" s="11" t="s">
        <v>73</v>
      </c>
      <c r="B17" s="11" t="s">
        <v>74</v>
      </c>
      <c r="C17" s="12">
        <v>25.082132999999999</v>
      </c>
      <c r="D17" s="12">
        <v>121.567213</v>
      </c>
      <c r="E17" s="11"/>
      <c r="F17" s="11"/>
      <c r="G17" t="str">
        <f t="shared" si="0"/>
        <v>25.0821330|121.5672130</v>
      </c>
      <c r="H17">
        <f t="shared" si="1"/>
        <v>1</v>
      </c>
      <c r="I17">
        <f>IF(AND(H17&gt;1,COUNTIF($G$2:G17,G17)=1),1,0)</f>
        <v>0</v>
      </c>
      <c r="J17">
        <f>SUM($I$2:I17)</f>
        <v>5</v>
      </c>
    </row>
    <row r="18" spans="1:10" x14ac:dyDescent="0.25">
      <c r="A18" s="11" t="s">
        <v>75</v>
      </c>
      <c r="B18" s="11" t="s">
        <v>76</v>
      </c>
      <c r="C18" s="12">
        <v>25.080027999999999</v>
      </c>
      <c r="D18" s="12">
        <v>121.575081</v>
      </c>
      <c r="E18" s="11"/>
      <c r="F18" s="11"/>
      <c r="G18" t="str">
        <f t="shared" si="0"/>
        <v>25.0800280|121.5750810</v>
      </c>
      <c r="H18">
        <f t="shared" si="1"/>
        <v>1</v>
      </c>
      <c r="I18">
        <f>IF(AND(H18&gt;1,COUNTIF($G$2:G18,G18)=1),1,0)</f>
        <v>0</v>
      </c>
      <c r="J18">
        <f>SUM($I$2:I18)</f>
        <v>5</v>
      </c>
    </row>
    <row r="19" spans="1:10" x14ac:dyDescent="0.25">
      <c r="A19" s="11" t="s">
        <v>77</v>
      </c>
      <c r="B19" s="11" t="s">
        <v>78</v>
      </c>
      <c r="C19" s="12">
        <v>25.078531999999999</v>
      </c>
      <c r="D19" s="12">
        <v>121.584761</v>
      </c>
      <c r="E19" s="11"/>
      <c r="F19" s="11"/>
      <c r="G19" t="str">
        <f t="shared" si="0"/>
        <v>25.0785320|121.5847610</v>
      </c>
      <c r="H19">
        <f t="shared" si="1"/>
        <v>1</v>
      </c>
      <c r="I19">
        <f>IF(AND(H19&gt;1,COUNTIF($G$2:G19,G19)=1),1,0)</f>
        <v>0</v>
      </c>
      <c r="J19">
        <f>SUM($I$2:I19)</f>
        <v>5</v>
      </c>
    </row>
    <row r="20" spans="1:10" x14ac:dyDescent="0.25">
      <c r="A20" s="11" t="s">
        <v>79</v>
      </c>
      <c r="B20" s="11" t="s">
        <v>80</v>
      </c>
      <c r="C20" s="12">
        <v>25.083660999999999</v>
      </c>
      <c r="D20" s="12">
        <v>121.594408</v>
      </c>
      <c r="E20" s="11"/>
      <c r="F20" s="11"/>
      <c r="G20" t="str">
        <f t="shared" si="0"/>
        <v>25.0836610|121.5944080</v>
      </c>
      <c r="H20">
        <f t="shared" si="1"/>
        <v>1</v>
      </c>
      <c r="I20">
        <f>IF(AND(H20&gt;1,COUNTIF($G$2:G20,G20)=1),1,0)</f>
        <v>0</v>
      </c>
      <c r="J20">
        <f>SUM($I$2:I20)</f>
        <v>5</v>
      </c>
    </row>
    <row r="21" spans="1:10" x14ac:dyDescent="0.25">
      <c r="A21" s="11" t="s">
        <v>81</v>
      </c>
      <c r="B21" s="11" t="s">
        <v>82</v>
      </c>
      <c r="C21" s="12">
        <v>25.083845</v>
      </c>
      <c r="D21" s="12">
        <v>121.602141</v>
      </c>
      <c r="E21" s="11"/>
      <c r="F21" s="11"/>
      <c r="G21" t="str">
        <f t="shared" si="0"/>
        <v>25.0838450|121.6021410</v>
      </c>
      <c r="H21">
        <f t="shared" si="1"/>
        <v>1</v>
      </c>
      <c r="I21">
        <f>IF(AND(H21&gt;1,COUNTIF($G$2:G21,G21)=1),1,0)</f>
        <v>0</v>
      </c>
      <c r="J21">
        <f>SUM($I$2:I21)</f>
        <v>5</v>
      </c>
    </row>
    <row r="22" spans="1:10" x14ac:dyDescent="0.25">
      <c r="A22" s="11" t="s">
        <v>83</v>
      </c>
      <c r="B22" s="11" t="s">
        <v>84</v>
      </c>
      <c r="C22" s="12">
        <v>25.072700999999999</v>
      </c>
      <c r="D22" s="12">
        <v>121.607158</v>
      </c>
      <c r="E22" s="11"/>
      <c r="F22" s="11"/>
      <c r="G22" t="str">
        <f t="shared" si="0"/>
        <v>25.0727010|121.6071580</v>
      </c>
      <c r="H22">
        <f t="shared" si="1"/>
        <v>1</v>
      </c>
      <c r="I22">
        <f>IF(AND(H22&gt;1,COUNTIF($G$2:G22,G22)=1),1,0)</f>
        <v>0</v>
      </c>
      <c r="J22">
        <f>SUM($I$2:I22)</f>
        <v>5</v>
      </c>
    </row>
    <row r="23" spans="1:10" x14ac:dyDescent="0.25">
      <c r="A23" s="11" t="s">
        <v>85</v>
      </c>
      <c r="B23" s="11" t="s">
        <v>86</v>
      </c>
      <c r="C23" s="12">
        <v>25.067146999999999</v>
      </c>
      <c r="D23" s="12">
        <v>121.611445</v>
      </c>
      <c r="E23" s="11"/>
      <c r="F23" s="11"/>
      <c r="G23" t="str">
        <f t="shared" si="0"/>
        <v>25.0671470|121.6114450</v>
      </c>
      <c r="H23">
        <f t="shared" si="1"/>
        <v>1</v>
      </c>
      <c r="I23">
        <f>IF(AND(H23&gt;1,COUNTIF($G$2:G23,G23)=1),1,0)</f>
        <v>0</v>
      </c>
      <c r="J23">
        <f>SUM($I$2:I23)</f>
        <v>5</v>
      </c>
    </row>
    <row r="24" spans="1:10" x14ac:dyDescent="0.25">
      <c r="A24" s="11" t="s">
        <v>87</v>
      </c>
      <c r="B24" s="11" t="s">
        <v>88</v>
      </c>
      <c r="C24" s="12">
        <v>25.059905000000001</v>
      </c>
      <c r="D24" s="12">
        <v>121.615953</v>
      </c>
      <c r="E24" s="11"/>
      <c r="F24" s="11"/>
      <c r="G24" t="str">
        <f t="shared" si="0"/>
        <v>25.0599050|121.6159530</v>
      </c>
      <c r="H24">
        <f t="shared" si="1"/>
        <v>1</v>
      </c>
      <c r="I24">
        <f>IF(AND(H24&gt;1,COUNTIF($G$2:G24,G24)=1),1,0)</f>
        <v>0</v>
      </c>
      <c r="J24">
        <f>SUM($I$2:I24)</f>
        <v>5</v>
      </c>
    </row>
    <row r="25" spans="1:10" x14ac:dyDescent="0.25">
      <c r="A25" s="7" t="s">
        <v>89</v>
      </c>
      <c r="B25" s="7" t="s">
        <v>90</v>
      </c>
      <c r="C25" s="8">
        <v>25.055288000000001</v>
      </c>
      <c r="D25" s="8">
        <v>121.6175001</v>
      </c>
      <c r="E25" s="7" t="s">
        <v>364</v>
      </c>
      <c r="F25" s="7" t="s">
        <v>365</v>
      </c>
      <c r="G25" t="str">
        <f t="shared" si="0"/>
        <v>25.0552880|121.6175001</v>
      </c>
      <c r="H25">
        <f t="shared" si="1"/>
        <v>2</v>
      </c>
      <c r="I25">
        <f>IF(AND(H25&gt;1,COUNTIF($G$2:G25,G25)=1),1,0)</f>
        <v>1</v>
      </c>
      <c r="J25">
        <f>SUM($I$2:I25)</f>
        <v>6</v>
      </c>
    </row>
    <row r="26" spans="1:10" x14ac:dyDescent="0.25">
      <c r="A26" s="13" t="s">
        <v>91</v>
      </c>
      <c r="B26" s="13" t="s">
        <v>92</v>
      </c>
      <c r="C26" s="12">
        <v>25.0378221</v>
      </c>
      <c r="D26" s="12">
        <v>121.5834657</v>
      </c>
      <c r="E26" s="11"/>
      <c r="F26" s="11"/>
      <c r="G26" t="str">
        <f t="shared" si="0"/>
        <v>25.0378221|121.5834657</v>
      </c>
      <c r="H26">
        <f t="shared" si="1"/>
        <v>1</v>
      </c>
      <c r="I26">
        <f>IF(AND(H26&gt;1,COUNTIF($G$2:G26,G26)=1),1,0)</f>
        <v>0</v>
      </c>
      <c r="J26">
        <f>SUM($I$2:I26)</f>
        <v>6</v>
      </c>
    </row>
    <row r="27" spans="1:10" x14ac:dyDescent="0.25">
      <c r="A27" s="9" t="s">
        <v>93</v>
      </c>
      <c r="B27" s="9" t="s">
        <v>94</v>
      </c>
      <c r="C27" s="8">
        <v>25.032830000000001</v>
      </c>
      <c r="D27" s="8">
        <v>121.569576</v>
      </c>
      <c r="E27" s="7" t="s">
        <v>366</v>
      </c>
      <c r="F27" s="7" t="s">
        <v>367</v>
      </c>
      <c r="G27" t="str">
        <f t="shared" si="0"/>
        <v>25.0328300|121.5695760</v>
      </c>
      <c r="H27">
        <f t="shared" si="1"/>
        <v>2</v>
      </c>
      <c r="I27">
        <f>IF(AND(H27&gt;1,COUNTIF($G$2:G27,G27)=1),1,0)</f>
        <v>1</v>
      </c>
      <c r="J27">
        <f>SUM($I$2:I27)</f>
        <v>7</v>
      </c>
    </row>
    <row r="28" spans="1:10" x14ac:dyDescent="0.25">
      <c r="A28" s="13" t="s">
        <v>95</v>
      </c>
      <c r="B28" s="13" t="s">
        <v>96</v>
      </c>
      <c r="C28" s="12">
        <v>25.033102</v>
      </c>
      <c r="D28" s="12">
        <v>121.563292</v>
      </c>
      <c r="E28" s="11"/>
      <c r="F28" s="11"/>
      <c r="G28" t="str">
        <f t="shared" si="0"/>
        <v>25.0331020|121.5632920</v>
      </c>
      <c r="H28">
        <f t="shared" si="1"/>
        <v>1</v>
      </c>
      <c r="I28">
        <f>IF(AND(H28&gt;1,COUNTIF($G$2:G28,G28)=1),1,0)</f>
        <v>0</v>
      </c>
      <c r="J28">
        <f>SUM($I$2:I28)</f>
        <v>7</v>
      </c>
    </row>
    <row r="29" spans="1:10" x14ac:dyDescent="0.25">
      <c r="A29" s="13" t="s">
        <v>97</v>
      </c>
      <c r="B29" s="13" t="s">
        <v>98</v>
      </c>
      <c r="C29" s="12">
        <v>25.033325999999999</v>
      </c>
      <c r="D29" s="12">
        <v>121.55352600000001</v>
      </c>
      <c r="E29" s="11"/>
      <c r="F29" s="11"/>
      <c r="G29" t="str">
        <f t="shared" si="0"/>
        <v>25.0333260|121.5535260</v>
      </c>
      <c r="H29">
        <f t="shared" si="1"/>
        <v>1</v>
      </c>
      <c r="I29">
        <f>IF(AND(H29&gt;1,COUNTIF($G$2:G29,G29)=1),1,0)</f>
        <v>0</v>
      </c>
      <c r="J29">
        <f>SUM($I$2:I29)</f>
        <v>7</v>
      </c>
    </row>
    <row r="30" spans="1:10" x14ac:dyDescent="0.25">
      <c r="A30" s="9" t="s">
        <v>99</v>
      </c>
      <c r="B30" s="9" t="s">
        <v>60</v>
      </c>
      <c r="C30" s="8">
        <v>25.032943</v>
      </c>
      <c r="D30" s="8">
        <v>121.54355099999999</v>
      </c>
      <c r="E30" s="7" t="s">
        <v>403</v>
      </c>
      <c r="F30" s="7" t="s">
        <v>404</v>
      </c>
      <c r="G30" t="str">
        <f t="shared" si="0"/>
        <v>25.0329430|121.5435510</v>
      </c>
      <c r="H30">
        <f t="shared" si="1"/>
        <v>2</v>
      </c>
      <c r="I30">
        <f>IF(AND(H30&gt;1,COUNTIF($G$2:G30,G30)=1),1,0)</f>
        <v>0</v>
      </c>
      <c r="J30">
        <f>SUM($I$2:I30)</f>
        <v>7</v>
      </c>
    </row>
    <row r="31" spans="1:10" x14ac:dyDescent="0.25">
      <c r="A31" s="13" t="s">
        <v>100</v>
      </c>
      <c r="B31" s="13" t="s">
        <v>101</v>
      </c>
      <c r="C31" s="12">
        <v>25.033396</v>
      </c>
      <c r="D31" s="12">
        <v>121.534882</v>
      </c>
      <c r="E31" s="11"/>
      <c r="F31" s="11"/>
      <c r="G31" t="str">
        <f t="shared" si="0"/>
        <v>25.0333960|121.5348820</v>
      </c>
      <c r="H31">
        <f t="shared" si="1"/>
        <v>1</v>
      </c>
      <c r="I31">
        <f>IF(AND(H31&gt;1,COUNTIF($G$2:G31,G31)=1),1,0)</f>
        <v>0</v>
      </c>
      <c r="J31">
        <f>SUM($I$2:I31)</f>
        <v>7</v>
      </c>
    </row>
    <row r="32" spans="1:10" x14ac:dyDescent="0.25">
      <c r="A32" s="9" t="s">
        <v>102</v>
      </c>
      <c r="B32" s="9" t="s">
        <v>103</v>
      </c>
      <c r="C32" s="8">
        <v>25.033847000000002</v>
      </c>
      <c r="D32" s="8">
        <v>121.528739</v>
      </c>
      <c r="E32" s="7" t="s">
        <v>368</v>
      </c>
      <c r="F32" s="7" t="s">
        <v>369</v>
      </c>
      <c r="G32" t="str">
        <f t="shared" si="0"/>
        <v>25.0338470|121.5287390</v>
      </c>
      <c r="H32">
        <f t="shared" si="1"/>
        <v>2</v>
      </c>
      <c r="I32">
        <f>IF(AND(H32&gt;1,COUNTIF($G$2:G32,G32)=1),1,0)</f>
        <v>1</v>
      </c>
      <c r="J32">
        <f>SUM($I$2:I32)</f>
        <v>8</v>
      </c>
    </row>
    <row r="33" spans="1:10" x14ac:dyDescent="0.25">
      <c r="A33" s="9" t="s">
        <v>104</v>
      </c>
      <c r="B33" s="9" t="s">
        <v>105</v>
      </c>
      <c r="C33" s="8">
        <v>25.032729</v>
      </c>
      <c r="D33" s="8">
        <v>121.51827</v>
      </c>
      <c r="E33" s="7" t="s">
        <v>370</v>
      </c>
      <c r="F33" s="7" t="s">
        <v>371</v>
      </c>
      <c r="G33" t="str">
        <f t="shared" si="0"/>
        <v>25.0327290|121.5182700</v>
      </c>
      <c r="H33">
        <f t="shared" si="1"/>
        <v>2</v>
      </c>
      <c r="I33">
        <f>IF(AND(H33&gt;1,COUNTIF($G$2:G33,G33)=1),1,0)</f>
        <v>1</v>
      </c>
      <c r="J33">
        <f>SUM($I$2:I33)</f>
        <v>9</v>
      </c>
    </row>
    <row r="34" spans="1:10" x14ac:dyDescent="0.25">
      <c r="A34" s="13" t="s">
        <v>106</v>
      </c>
      <c r="B34" s="13" t="s">
        <v>107</v>
      </c>
      <c r="C34" s="12">
        <v>25.041256000000001</v>
      </c>
      <c r="D34" s="12">
        <v>121.51604</v>
      </c>
      <c r="E34" s="11"/>
      <c r="F34" s="11"/>
      <c r="G34" t="str">
        <f t="shared" si="0"/>
        <v>25.0412560|121.5160400</v>
      </c>
      <c r="H34">
        <f t="shared" si="1"/>
        <v>1</v>
      </c>
      <c r="I34">
        <f>IF(AND(H34&gt;1,COUNTIF($G$2:G34,G34)=1),1,0)</f>
        <v>0</v>
      </c>
      <c r="J34">
        <f>SUM($I$2:I34)</f>
        <v>9</v>
      </c>
    </row>
    <row r="35" spans="1:10" ht="15.75" x14ac:dyDescent="0.25">
      <c r="A35" s="10" t="s">
        <v>108</v>
      </c>
      <c r="B35" s="10" t="s">
        <v>109</v>
      </c>
      <c r="C35" s="8">
        <v>25.046254999999999</v>
      </c>
      <c r="D35" s="8">
        <v>121.517532</v>
      </c>
      <c r="E35" s="7" t="s">
        <v>372</v>
      </c>
      <c r="F35" s="7" t="s">
        <v>373</v>
      </c>
      <c r="G35" t="str">
        <f t="shared" si="0"/>
        <v>25.0462550|121.5175320</v>
      </c>
      <c r="H35">
        <f t="shared" si="1"/>
        <v>2</v>
      </c>
      <c r="I35">
        <f>IF(AND(H35&gt;1,COUNTIF($G$2:G35,G35)=1),1,0)</f>
        <v>1</v>
      </c>
      <c r="J35">
        <f>SUM($I$2:I35)</f>
        <v>10</v>
      </c>
    </row>
    <row r="36" spans="1:10" x14ac:dyDescent="0.25">
      <c r="A36" s="9" t="s">
        <v>110</v>
      </c>
      <c r="B36" s="9" t="s">
        <v>111</v>
      </c>
      <c r="C36" s="8">
        <v>25.052685</v>
      </c>
      <c r="D36" s="8">
        <v>121.520392</v>
      </c>
      <c r="E36" s="7" t="s">
        <v>374</v>
      </c>
      <c r="F36" s="7" t="s">
        <v>375</v>
      </c>
      <c r="G36" t="str">
        <f t="shared" si="0"/>
        <v>25.0526850|121.5203920</v>
      </c>
      <c r="H36">
        <f t="shared" si="1"/>
        <v>2</v>
      </c>
      <c r="I36">
        <f>IF(AND(H36&gt;1,COUNTIF($G$2:G36,G36)=1),1,0)</f>
        <v>1</v>
      </c>
      <c r="J36">
        <f>SUM($I$2:I36)</f>
        <v>11</v>
      </c>
    </row>
    <row r="37" spans="1:10" x14ac:dyDescent="0.25">
      <c r="A37" s="13" t="s">
        <v>112</v>
      </c>
      <c r="B37" s="13" t="s">
        <v>113</v>
      </c>
      <c r="C37" s="12">
        <v>25.057804999999998</v>
      </c>
      <c r="D37" s="12">
        <v>121.520627</v>
      </c>
      <c r="E37" s="11"/>
      <c r="F37" s="11"/>
      <c r="G37" t="str">
        <f t="shared" si="0"/>
        <v>25.0578050|121.5206270</v>
      </c>
      <c r="H37">
        <f t="shared" si="1"/>
        <v>1</v>
      </c>
      <c r="I37">
        <f>IF(AND(H37&gt;1,COUNTIF($G$2:G37,G37)=1),1,0)</f>
        <v>0</v>
      </c>
      <c r="J37">
        <f>SUM($I$2:I37)</f>
        <v>11</v>
      </c>
    </row>
    <row r="38" spans="1:10" x14ac:dyDescent="0.25">
      <c r="A38" s="9" t="s">
        <v>114</v>
      </c>
      <c r="B38" s="9" t="s">
        <v>115</v>
      </c>
      <c r="C38" s="8">
        <v>25.062905000000001</v>
      </c>
      <c r="D38" s="8">
        <v>121.51931999999999</v>
      </c>
      <c r="E38" s="7" t="s">
        <v>376</v>
      </c>
      <c r="F38" s="7" t="s">
        <v>377</v>
      </c>
      <c r="G38" t="str">
        <f t="shared" si="0"/>
        <v>25.0629050|121.5193200</v>
      </c>
      <c r="H38">
        <f t="shared" si="1"/>
        <v>2</v>
      </c>
      <c r="I38">
        <f>IF(AND(H38&gt;1,COUNTIF($G$2:G38,G38)=1),1,0)</f>
        <v>1</v>
      </c>
      <c r="J38">
        <f>SUM($I$2:I38)</f>
        <v>12</v>
      </c>
    </row>
    <row r="39" spans="1:10" x14ac:dyDescent="0.25">
      <c r="A39" s="13" t="s">
        <v>116</v>
      </c>
      <c r="B39" s="13" t="s">
        <v>117</v>
      </c>
      <c r="C39" s="12">
        <v>25.071352999999998</v>
      </c>
      <c r="D39" s="12">
        <v>121.520118</v>
      </c>
      <c r="E39" s="11"/>
      <c r="F39" s="11"/>
      <c r="G39" t="str">
        <f t="shared" si="0"/>
        <v>25.0713530|121.5201180</v>
      </c>
      <c r="H39">
        <f t="shared" si="1"/>
        <v>1</v>
      </c>
      <c r="I39">
        <f>IF(AND(H39&gt;1,COUNTIF($G$2:G39,G39)=1),1,0)</f>
        <v>0</v>
      </c>
      <c r="J39">
        <f>SUM($I$2:I39)</f>
        <v>12</v>
      </c>
    </row>
    <row r="40" spans="1:10" x14ac:dyDescent="0.25">
      <c r="A40" s="13" t="s">
        <v>118</v>
      </c>
      <c r="B40" s="13" t="s">
        <v>119</v>
      </c>
      <c r="C40" s="12">
        <v>25.084873000000002</v>
      </c>
      <c r="D40" s="12">
        <v>121.52507799999999</v>
      </c>
      <c r="E40" s="11"/>
      <c r="F40" s="11"/>
      <c r="G40" t="str">
        <f t="shared" si="0"/>
        <v>25.0848730|121.5250780</v>
      </c>
      <c r="H40">
        <f t="shared" si="1"/>
        <v>1</v>
      </c>
      <c r="I40">
        <f>IF(AND(H40&gt;1,COUNTIF($G$2:G40,G40)=1),1,0)</f>
        <v>0</v>
      </c>
      <c r="J40">
        <f>SUM($I$2:I40)</f>
        <v>12</v>
      </c>
    </row>
    <row r="41" spans="1:10" x14ac:dyDescent="0.25">
      <c r="A41" s="9" t="s">
        <v>120</v>
      </c>
      <c r="B41" s="9" t="s">
        <v>121</v>
      </c>
      <c r="C41" s="8">
        <v>25.093534999999999</v>
      </c>
      <c r="D41" s="8">
        <v>121.52623</v>
      </c>
      <c r="E41" s="7" t="s">
        <v>378</v>
      </c>
      <c r="F41" s="7" t="s">
        <v>379</v>
      </c>
      <c r="G41" t="str">
        <f t="shared" si="0"/>
        <v>25.0935350|121.5262300</v>
      </c>
      <c r="H41">
        <f t="shared" si="1"/>
        <v>2</v>
      </c>
      <c r="I41">
        <f>IF(AND(H41&gt;1,COUNTIF($G$2:G41,G41)=1),1,0)</f>
        <v>1</v>
      </c>
      <c r="J41">
        <f>SUM($I$2:I41)</f>
        <v>13</v>
      </c>
    </row>
    <row r="42" spans="1:10" x14ac:dyDescent="0.25">
      <c r="A42" s="13" t="s">
        <v>122</v>
      </c>
      <c r="B42" s="13" t="s">
        <v>123</v>
      </c>
      <c r="C42" s="12">
        <v>25.103059999999999</v>
      </c>
      <c r="D42" s="12">
        <v>121.522514</v>
      </c>
      <c r="E42" s="11"/>
      <c r="F42" s="11"/>
      <c r="G42" t="str">
        <f t="shared" si="0"/>
        <v>25.1030600|121.5225140</v>
      </c>
      <c r="H42">
        <f t="shared" si="1"/>
        <v>1</v>
      </c>
      <c r="I42">
        <f>IF(AND(H42&gt;1,COUNTIF($G$2:G42,G42)=1),1,0)</f>
        <v>0</v>
      </c>
      <c r="J42">
        <f>SUM($I$2:I42)</f>
        <v>13</v>
      </c>
    </row>
    <row r="43" spans="1:10" x14ac:dyDescent="0.25">
      <c r="A43" s="13" t="s">
        <v>124</v>
      </c>
      <c r="B43" s="13" t="s">
        <v>125</v>
      </c>
      <c r="C43" s="12">
        <v>25.109721</v>
      </c>
      <c r="D43" s="12">
        <v>121.51884800000001</v>
      </c>
      <c r="E43" s="11"/>
      <c r="F43" s="11"/>
      <c r="G43" t="str">
        <f t="shared" si="0"/>
        <v>25.1097210|121.5188480</v>
      </c>
      <c r="H43">
        <f t="shared" si="1"/>
        <v>1</v>
      </c>
      <c r="I43">
        <f>IF(AND(H43&gt;1,COUNTIF($G$2:G43,G43)=1),1,0)</f>
        <v>0</v>
      </c>
      <c r="J43">
        <f>SUM($I$2:I43)</f>
        <v>13</v>
      </c>
    </row>
    <row r="44" spans="1:10" x14ac:dyDescent="0.25">
      <c r="A44" s="13" t="s">
        <v>126</v>
      </c>
      <c r="B44" s="13" t="s">
        <v>127</v>
      </c>
      <c r="C44" s="12">
        <v>25.114522999999998</v>
      </c>
      <c r="D44" s="12">
        <v>121.515559</v>
      </c>
      <c r="E44" s="11"/>
      <c r="F44" s="11"/>
      <c r="G44" t="str">
        <f t="shared" si="0"/>
        <v>25.1145230|121.5155590</v>
      </c>
      <c r="H44">
        <f t="shared" si="1"/>
        <v>1</v>
      </c>
      <c r="I44">
        <f>IF(AND(H44&gt;1,COUNTIF($G$2:G44,G44)=1),1,0)</f>
        <v>0</v>
      </c>
      <c r="J44">
        <f>SUM($I$2:I44)</f>
        <v>13</v>
      </c>
    </row>
    <row r="45" spans="1:10" x14ac:dyDescent="0.25">
      <c r="A45" s="13" t="s">
        <v>128</v>
      </c>
      <c r="B45" s="13" t="s">
        <v>129</v>
      </c>
      <c r="C45" s="12">
        <v>25.120871999999999</v>
      </c>
      <c r="D45" s="12">
        <v>121.506252</v>
      </c>
      <c r="E45" s="11"/>
      <c r="F45" s="11"/>
      <c r="G45" t="str">
        <f t="shared" si="0"/>
        <v>25.1208720|121.5062520</v>
      </c>
      <c r="H45">
        <f t="shared" si="1"/>
        <v>1</v>
      </c>
      <c r="I45">
        <f>IF(AND(H45&gt;1,COUNTIF($G$2:G45,G45)=1),1,0)</f>
        <v>0</v>
      </c>
      <c r="J45">
        <f>SUM($I$2:I45)</f>
        <v>13</v>
      </c>
    </row>
    <row r="46" spans="1:10" x14ac:dyDescent="0.25">
      <c r="A46" s="13" t="s">
        <v>130</v>
      </c>
      <c r="B46" s="13" t="s">
        <v>131</v>
      </c>
      <c r="C46" s="12">
        <v>25.125491</v>
      </c>
      <c r="D46" s="12">
        <v>121.501132</v>
      </c>
      <c r="E46" s="11"/>
      <c r="F46" s="11"/>
      <c r="G46" t="str">
        <f t="shared" si="0"/>
        <v>25.1254910|121.5011320</v>
      </c>
      <c r="H46">
        <f t="shared" si="1"/>
        <v>1</v>
      </c>
      <c r="I46">
        <f>IF(AND(H46&gt;1,COUNTIF($G$2:G46,G46)=1),1,0)</f>
        <v>0</v>
      </c>
      <c r="J46">
        <f>SUM($I$2:I46)</f>
        <v>13</v>
      </c>
    </row>
    <row r="47" spans="1:10" x14ac:dyDescent="0.25">
      <c r="A47" s="13" t="s">
        <v>132</v>
      </c>
      <c r="B47" s="13" t="s">
        <v>133</v>
      </c>
      <c r="C47" s="12">
        <v>25.131841000000001</v>
      </c>
      <c r="D47" s="12">
        <v>121.498633</v>
      </c>
      <c r="E47" s="11"/>
      <c r="F47" s="11"/>
      <c r="G47" t="str">
        <f t="shared" si="0"/>
        <v>25.1318410|121.4986330</v>
      </c>
      <c r="H47">
        <f t="shared" si="1"/>
        <v>1</v>
      </c>
      <c r="I47">
        <f>IF(AND(H47&gt;1,COUNTIF($G$2:G47,G47)=1),1,0)</f>
        <v>0</v>
      </c>
      <c r="J47">
        <f>SUM($I$2:I47)</f>
        <v>13</v>
      </c>
    </row>
    <row r="48" spans="1:10" x14ac:dyDescent="0.25">
      <c r="A48" s="13" t="s">
        <v>134</v>
      </c>
      <c r="B48" s="13" t="s">
        <v>135</v>
      </c>
      <c r="C48" s="12">
        <v>25.136932999999999</v>
      </c>
      <c r="D48" s="12">
        <v>121.50252999999999</v>
      </c>
      <c r="E48" s="11"/>
      <c r="F48" s="11"/>
      <c r="G48" t="str">
        <f t="shared" si="0"/>
        <v>25.1369330|121.5025300</v>
      </c>
      <c r="H48">
        <f t="shared" si="1"/>
        <v>1</v>
      </c>
      <c r="I48">
        <f>IF(AND(H48&gt;1,COUNTIF($G$2:G48,G48)=1),1,0)</f>
        <v>0</v>
      </c>
      <c r="J48">
        <f>SUM($I$2:I48)</f>
        <v>13</v>
      </c>
    </row>
    <row r="49" spans="1:10" x14ac:dyDescent="0.25">
      <c r="A49" s="13" t="s">
        <v>136</v>
      </c>
      <c r="B49" s="13" t="s">
        <v>137</v>
      </c>
      <c r="C49" s="12">
        <v>25.137474000000001</v>
      </c>
      <c r="D49" s="12">
        <v>121.485444</v>
      </c>
      <c r="E49" s="11"/>
      <c r="F49" s="11"/>
      <c r="G49" t="str">
        <f t="shared" si="0"/>
        <v>25.1374740|121.4854440</v>
      </c>
      <c r="H49">
        <f t="shared" si="1"/>
        <v>1</v>
      </c>
      <c r="I49">
        <f>IF(AND(H49&gt;1,COUNTIF($G$2:G49,G49)=1),1,0)</f>
        <v>0</v>
      </c>
      <c r="J49">
        <f>SUM($I$2:I49)</f>
        <v>13</v>
      </c>
    </row>
    <row r="50" spans="1:10" x14ac:dyDescent="0.25">
      <c r="A50" s="13" t="s">
        <v>138</v>
      </c>
      <c r="B50" s="13" t="s">
        <v>139</v>
      </c>
      <c r="C50" s="12">
        <v>25.130969</v>
      </c>
      <c r="D50" s="12">
        <v>121.47341</v>
      </c>
      <c r="E50" s="11"/>
      <c r="F50" s="11"/>
      <c r="G50" t="str">
        <f t="shared" si="0"/>
        <v>25.1309690|121.4734100</v>
      </c>
      <c r="H50">
        <f t="shared" si="1"/>
        <v>1</v>
      </c>
      <c r="I50">
        <f>IF(AND(H50&gt;1,COUNTIF($G$2:G50,G50)=1),1,0)</f>
        <v>0</v>
      </c>
      <c r="J50">
        <f>SUM($I$2:I50)</f>
        <v>13</v>
      </c>
    </row>
    <row r="51" spans="1:10" x14ac:dyDescent="0.25">
      <c r="A51" s="13" t="s">
        <v>140</v>
      </c>
      <c r="B51" s="13" t="s">
        <v>141</v>
      </c>
      <c r="C51" s="12">
        <v>25.125633000000001</v>
      </c>
      <c r="D51" s="12">
        <v>121.467102</v>
      </c>
      <c r="E51" s="11"/>
      <c r="F51" s="11"/>
      <c r="G51" t="str">
        <f t="shared" si="0"/>
        <v>25.1256330|121.4671020</v>
      </c>
      <c r="H51">
        <f t="shared" si="1"/>
        <v>1</v>
      </c>
      <c r="I51">
        <f>IF(AND(H51&gt;1,COUNTIF($G$2:G51,G51)=1),1,0)</f>
        <v>0</v>
      </c>
      <c r="J51">
        <f>SUM($I$2:I51)</f>
        <v>13</v>
      </c>
    </row>
    <row r="52" spans="1:10" x14ac:dyDescent="0.25">
      <c r="A52" s="13" t="s">
        <v>142</v>
      </c>
      <c r="B52" s="13" t="s">
        <v>143</v>
      </c>
      <c r="C52" s="12">
        <v>25.136939999999999</v>
      </c>
      <c r="D52" s="12">
        <v>121.459479</v>
      </c>
      <c r="E52" s="11"/>
      <c r="F52" s="11"/>
      <c r="G52" t="str">
        <f t="shared" si="0"/>
        <v>25.1369400|121.4594790</v>
      </c>
      <c r="H52">
        <f t="shared" si="1"/>
        <v>1</v>
      </c>
      <c r="I52">
        <f>IF(AND(H52&gt;1,COUNTIF($G$2:G52,G52)=1),1,0)</f>
        <v>0</v>
      </c>
      <c r="J52">
        <f>SUM($I$2:I52)</f>
        <v>13</v>
      </c>
    </row>
    <row r="53" spans="1:10" x14ac:dyDescent="0.25">
      <c r="A53" s="13" t="s">
        <v>144</v>
      </c>
      <c r="B53" s="13" t="s">
        <v>145</v>
      </c>
      <c r="C53" s="12">
        <v>25.154042</v>
      </c>
      <c r="D53" s="12">
        <v>121.458872</v>
      </c>
      <c r="E53" s="11"/>
      <c r="F53" s="11"/>
      <c r="G53" t="str">
        <f t="shared" si="0"/>
        <v>25.1540420|121.4588720</v>
      </c>
      <c r="H53">
        <f t="shared" si="1"/>
        <v>1</v>
      </c>
      <c r="I53">
        <f>IF(AND(H53&gt;1,COUNTIF($G$2:G53,G53)=1),1,0)</f>
        <v>0</v>
      </c>
      <c r="J53">
        <f>SUM($I$2:I53)</f>
        <v>13</v>
      </c>
    </row>
    <row r="54" spans="1:10" x14ac:dyDescent="0.25">
      <c r="A54" s="13" t="s">
        <v>146</v>
      </c>
      <c r="B54" s="13" t="s">
        <v>147</v>
      </c>
      <c r="C54" s="12">
        <v>25.167818</v>
      </c>
      <c r="D54" s="12">
        <v>121.445561</v>
      </c>
      <c r="E54" s="11"/>
      <c r="F54" s="11"/>
      <c r="G54" t="str">
        <f t="shared" si="0"/>
        <v>25.1678180|121.4455610</v>
      </c>
      <c r="H54">
        <f t="shared" si="1"/>
        <v>1</v>
      </c>
      <c r="I54">
        <f>IF(AND(H54&gt;1,COUNTIF($G$2:G54,G54)=1),1,0)</f>
        <v>0</v>
      </c>
      <c r="J54">
        <f>SUM($I$2:I54)</f>
        <v>13</v>
      </c>
    </row>
    <row r="55" spans="1:10" x14ac:dyDescent="0.25">
      <c r="A55" s="11" t="s">
        <v>10</v>
      </c>
      <c r="B55" s="11" t="s">
        <v>148</v>
      </c>
      <c r="C55" s="12">
        <v>24.957854999999999</v>
      </c>
      <c r="D55" s="12">
        <v>121.537584</v>
      </c>
      <c r="E55" s="11"/>
      <c r="F55" s="11"/>
      <c r="G55" t="str">
        <f t="shared" si="0"/>
        <v>24.9578550|121.5375840</v>
      </c>
      <c r="H55">
        <f t="shared" si="1"/>
        <v>1</v>
      </c>
      <c r="I55">
        <f>IF(AND(H55&gt;1,COUNTIF($G$2:G55,G55)=1),1,0)</f>
        <v>0</v>
      </c>
      <c r="J55">
        <f>SUM($I$2:I55)</f>
        <v>13</v>
      </c>
    </row>
    <row r="56" spans="1:10" x14ac:dyDescent="0.25">
      <c r="A56" s="11" t="s">
        <v>11</v>
      </c>
      <c r="B56" s="11" t="s">
        <v>149</v>
      </c>
      <c r="C56" s="12">
        <v>24.967393000000001</v>
      </c>
      <c r="D56" s="12">
        <v>121.54131</v>
      </c>
      <c r="E56" s="11"/>
      <c r="F56" s="11"/>
      <c r="G56" t="str">
        <f t="shared" si="0"/>
        <v>24.9673930|121.5413100</v>
      </c>
      <c r="H56">
        <f t="shared" si="1"/>
        <v>1</v>
      </c>
      <c r="I56">
        <f>IF(AND(H56&gt;1,COUNTIF($G$2:G56,G56)=1),1,0)</f>
        <v>0</v>
      </c>
      <c r="J56">
        <f>SUM($I$2:I56)</f>
        <v>13</v>
      </c>
    </row>
    <row r="57" spans="1:10" x14ac:dyDescent="0.25">
      <c r="A57" s="11" t="s">
        <v>12</v>
      </c>
      <c r="B57" s="11" t="s">
        <v>150</v>
      </c>
      <c r="C57" s="12">
        <v>24.975169000000001</v>
      </c>
      <c r="D57" s="12">
        <v>121.542942</v>
      </c>
      <c r="E57" s="11"/>
      <c r="F57" s="11"/>
      <c r="G57" t="str">
        <f t="shared" si="0"/>
        <v>24.9751690|121.5429420</v>
      </c>
      <c r="H57">
        <f t="shared" si="1"/>
        <v>1</v>
      </c>
      <c r="I57">
        <f>IF(AND(H57&gt;1,COUNTIF($G$2:G57,G57)=1),1,0)</f>
        <v>0</v>
      </c>
      <c r="J57">
        <f>SUM($I$2:I57)</f>
        <v>13</v>
      </c>
    </row>
    <row r="58" spans="1:10" x14ac:dyDescent="0.25">
      <c r="A58" s="11" t="s">
        <v>151</v>
      </c>
      <c r="B58" s="11" t="s">
        <v>152</v>
      </c>
      <c r="C58" s="12">
        <v>24.971907000000002</v>
      </c>
      <c r="D58" s="12">
        <v>121.530339</v>
      </c>
      <c r="E58" s="11"/>
      <c r="F58" s="11"/>
      <c r="G58" t="str">
        <f t="shared" si="0"/>
        <v>24.9719070|121.5303390</v>
      </c>
      <c r="H58">
        <f t="shared" si="1"/>
        <v>1</v>
      </c>
      <c r="I58">
        <f>IF(AND(H58&gt;1,COUNTIF($G$2:G58,G58)=1),1,0)</f>
        <v>0</v>
      </c>
      <c r="J58">
        <f>SUM($I$2:I58)</f>
        <v>13</v>
      </c>
    </row>
    <row r="59" spans="1:10" x14ac:dyDescent="0.25">
      <c r="A59" s="7" t="s">
        <v>13</v>
      </c>
      <c r="B59" s="7" t="s">
        <v>153</v>
      </c>
      <c r="C59" s="8">
        <v>24.982899</v>
      </c>
      <c r="D59" s="8">
        <v>121.541352</v>
      </c>
      <c r="E59" s="7" t="s">
        <v>380</v>
      </c>
      <c r="F59" s="7" t="s">
        <v>381</v>
      </c>
      <c r="G59" t="str">
        <f t="shared" si="0"/>
        <v>24.9828990|121.5413520</v>
      </c>
      <c r="H59">
        <f t="shared" si="1"/>
        <v>2</v>
      </c>
      <c r="I59">
        <f>IF(AND(H59&gt;1,COUNTIF($G$2:G59,G59)=1),1,0)</f>
        <v>1</v>
      </c>
      <c r="J59">
        <f>SUM($I$2:I59)</f>
        <v>14</v>
      </c>
    </row>
    <row r="60" spans="1:10" x14ac:dyDescent="0.25">
      <c r="A60" s="11" t="s">
        <v>14</v>
      </c>
      <c r="B60" s="11" t="s">
        <v>154</v>
      </c>
      <c r="C60" s="12">
        <v>24.9921276</v>
      </c>
      <c r="D60" s="12">
        <v>121.54060370000001</v>
      </c>
      <c r="E60" s="11"/>
      <c r="F60" s="11"/>
      <c r="G60" t="str">
        <f t="shared" si="0"/>
        <v>24.9921276|121.5406037</v>
      </c>
      <c r="H60">
        <f t="shared" si="1"/>
        <v>1</v>
      </c>
      <c r="I60">
        <f>IF(AND(H60&gt;1,COUNTIF($G$2:G60,G60)=1),1,0)</f>
        <v>0</v>
      </c>
      <c r="J60">
        <f>SUM($I$2:I60)</f>
        <v>14</v>
      </c>
    </row>
    <row r="61" spans="1:10" x14ac:dyDescent="0.25">
      <c r="A61" s="11" t="s">
        <v>26</v>
      </c>
      <c r="B61" s="11" t="s">
        <v>155</v>
      </c>
      <c r="C61" s="12">
        <v>25.001853000000001</v>
      </c>
      <c r="D61" s="12">
        <v>121.539051</v>
      </c>
      <c r="E61" s="11"/>
      <c r="F61" s="11"/>
      <c r="G61" t="str">
        <f t="shared" si="0"/>
        <v>25.0018530|121.5390510</v>
      </c>
      <c r="H61">
        <f t="shared" si="1"/>
        <v>1</v>
      </c>
      <c r="I61">
        <f>IF(AND(H61&gt;1,COUNTIF($G$2:G61,G61)=1),1,0)</f>
        <v>0</v>
      </c>
      <c r="J61">
        <f>SUM($I$2:I61)</f>
        <v>14</v>
      </c>
    </row>
    <row r="62" spans="1:10" x14ac:dyDescent="0.25">
      <c r="A62" s="11" t="s">
        <v>16</v>
      </c>
      <c r="B62" s="11" t="s">
        <v>156</v>
      </c>
      <c r="C62" s="12">
        <v>25.016076999999999</v>
      </c>
      <c r="D62" s="12">
        <v>121.53299920000001</v>
      </c>
      <c r="E62" s="11"/>
      <c r="F62" s="11"/>
      <c r="G62" t="str">
        <f t="shared" si="0"/>
        <v>25.0160770|121.5329992</v>
      </c>
      <c r="H62">
        <f t="shared" si="1"/>
        <v>1</v>
      </c>
      <c r="I62">
        <f>IF(AND(H62&gt;1,COUNTIF($G$2:G62,G62)=1),1,0)</f>
        <v>0</v>
      </c>
      <c r="J62">
        <f>SUM($I$2:I62)</f>
        <v>14</v>
      </c>
    </row>
    <row r="63" spans="1:10" x14ac:dyDescent="0.25">
      <c r="A63" s="11" t="s">
        <v>157</v>
      </c>
      <c r="B63" s="11" t="s">
        <v>158</v>
      </c>
      <c r="C63" s="12">
        <v>25.020724999999999</v>
      </c>
      <c r="D63" s="12">
        <v>121.52816799999999</v>
      </c>
      <c r="E63" s="11"/>
      <c r="F63" s="11"/>
      <c r="G63" t="str">
        <f t="shared" si="0"/>
        <v>25.0207250|121.5281680</v>
      </c>
      <c r="H63">
        <f t="shared" si="1"/>
        <v>1</v>
      </c>
      <c r="I63">
        <f>IF(AND(H63&gt;1,COUNTIF($G$2:G63,G63)=1),1,0)</f>
        <v>0</v>
      </c>
      <c r="J63">
        <f>SUM($I$2:I63)</f>
        <v>14</v>
      </c>
    </row>
    <row r="64" spans="1:10" x14ac:dyDescent="0.25">
      <c r="A64" s="7" t="s">
        <v>159</v>
      </c>
      <c r="B64" s="7" t="s">
        <v>160</v>
      </c>
      <c r="C64" s="8">
        <v>25.026357000000001</v>
      </c>
      <c r="D64" s="8">
        <v>121.522873</v>
      </c>
      <c r="E64" s="7" t="s">
        <v>382</v>
      </c>
      <c r="F64" s="7" t="s">
        <v>383</v>
      </c>
      <c r="G64" t="str">
        <f t="shared" si="0"/>
        <v>25.0263570|121.5228730</v>
      </c>
      <c r="H64">
        <f t="shared" si="1"/>
        <v>2</v>
      </c>
      <c r="I64">
        <f>IF(AND(H64&gt;1,COUNTIF($G$2:G64,G64)=1),1,0)</f>
        <v>1</v>
      </c>
      <c r="J64">
        <f>SUM($I$2:I64)</f>
        <v>15</v>
      </c>
    </row>
    <row r="65" spans="1:10" x14ac:dyDescent="0.25">
      <c r="A65" s="7" t="s">
        <v>161</v>
      </c>
      <c r="B65" s="7" t="s">
        <v>105</v>
      </c>
      <c r="C65" s="8">
        <v>25.032729</v>
      </c>
      <c r="D65" s="8">
        <v>121.51827</v>
      </c>
      <c r="E65" s="7" t="s">
        <v>370</v>
      </c>
      <c r="F65" s="7" t="s">
        <v>371</v>
      </c>
      <c r="G65" t="str">
        <f t="shared" si="0"/>
        <v>25.0327290|121.5182700</v>
      </c>
      <c r="H65">
        <f t="shared" si="1"/>
        <v>2</v>
      </c>
      <c r="I65">
        <f>IF(AND(H65&gt;1,COUNTIF($G$2:G65,G65)=1),1,0)</f>
        <v>0</v>
      </c>
      <c r="J65">
        <f>SUM($I$2:I65)</f>
        <v>15</v>
      </c>
    </row>
    <row r="66" spans="1:10" x14ac:dyDescent="0.25">
      <c r="A66" s="11" t="s">
        <v>162</v>
      </c>
      <c r="B66" s="11" t="s">
        <v>163</v>
      </c>
      <c r="C66" s="12">
        <v>25.035547000000001</v>
      </c>
      <c r="D66" s="12">
        <v>121.510857</v>
      </c>
      <c r="E66" s="11"/>
      <c r="F66" s="11"/>
      <c r="G66" t="str">
        <f t="shared" ref="G66:G129" si="2">IF(OR(C66="",D66=""),"",TEXT(C66,"0.0000000")&amp;"|"&amp;TEXT(D66,"0.0000000"))</f>
        <v>25.0355470|121.5108570</v>
      </c>
      <c r="H66">
        <f t="shared" ref="H66:H129" si="3">IF(G66="","",COUNTIF($G$2:$G$500,G66))</f>
        <v>1</v>
      </c>
      <c r="I66">
        <f>IF(AND(H66&gt;1,COUNTIF($G$2:G66,G66)=1),1,0)</f>
        <v>0</v>
      </c>
      <c r="J66">
        <f>SUM($I$2:I66)</f>
        <v>15</v>
      </c>
    </row>
    <row r="67" spans="1:10" x14ac:dyDescent="0.25">
      <c r="A67" s="7" t="s">
        <v>164</v>
      </c>
      <c r="B67" s="7" t="s">
        <v>165</v>
      </c>
      <c r="C67" s="8">
        <v>25.042090000000002</v>
      </c>
      <c r="D67" s="8">
        <v>121.508303</v>
      </c>
      <c r="E67" s="7" t="s">
        <v>384</v>
      </c>
      <c r="F67" s="7" t="s">
        <v>385</v>
      </c>
      <c r="G67" t="str">
        <f t="shared" si="2"/>
        <v>25.0420900|121.5083030</v>
      </c>
      <c r="H67">
        <f t="shared" si="3"/>
        <v>2</v>
      </c>
      <c r="I67">
        <f>IF(AND(H67&gt;1,COUNTIF($G$2:G67,G67)=1),1,0)</f>
        <v>1</v>
      </c>
      <c r="J67">
        <f>SUM($I$2:I67)</f>
        <v>16</v>
      </c>
    </row>
    <row r="68" spans="1:10" x14ac:dyDescent="0.25">
      <c r="A68" s="11" t="s">
        <v>166</v>
      </c>
      <c r="B68" s="11" t="s">
        <v>167</v>
      </c>
      <c r="C68" s="12">
        <v>25.049554000000001</v>
      </c>
      <c r="D68" s="12">
        <v>121.510184</v>
      </c>
      <c r="E68" s="11"/>
      <c r="F68" s="11"/>
      <c r="G68" t="str">
        <f t="shared" si="2"/>
        <v>25.0495540|121.5101840</v>
      </c>
      <c r="H68">
        <f t="shared" si="3"/>
        <v>1</v>
      </c>
      <c r="I68">
        <f>IF(AND(H68&gt;1,COUNTIF($G$2:G68,G68)=1),1,0)</f>
        <v>0</v>
      </c>
      <c r="J68">
        <f>SUM($I$2:I68)</f>
        <v>16</v>
      </c>
    </row>
    <row r="69" spans="1:10" x14ac:dyDescent="0.25">
      <c r="A69" s="7" t="s">
        <v>168</v>
      </c>
      <c r="B69" s="7" t="s">
        <v>111</v>
      </c>
      <c r="C69" s="8">
        <v>25.052685</v>
      </c>
      <c r="D69" s="8">
        <v>121.520392</v>
      </c>
      <c r="E69" s="7" t="s">
        <v>374</v>
      </c>
      <c r="F69" s="7" t="s">
        <v>375</v>
      </c>
      <c r="G69" t="str">
        <f t="shared" si="2"/>
        <v>25.0526850|121.5203920</v>
      </c>
      <c r="H69">
        <f t="shared" si="3"/>
        <v>2</v>
      </c>
      <c r="I69">
        <f>IF(AND(H69&gt;1,COUNTIF($G$2:G69,G69)=1),1,0)</f>
        <v>0</v>
      </c>
      <c r="J69">
        <f>SUM($I$2:I69)</f>
        <v>16</v>
      </c>
    </row>
    <row r="70" spans="1:10" x14ac:dyDescent="0.25">
      <c r="A70" s="7" t="s">
        <v>169</v>
      </c>
      <c r="B70" s="7" t="s">
        <v>170</v>
      </c>
      <c r="C70" s="8">
        <v>25.052015000000001</v>
      </c>
      <c r="D70" s="8">
        <v>121.533075</v>
      </c>
      <c r="E70" s="7" t="s">
        <v>386</v>
      </c>
      <c r="F70" s="7" t="s">
        <v>387</v>
      </c>
      <c r="G70" t="str">
        <f t="shared" si="2"/>
        <v>25.0520150|121.5330750</v>
      </c>
      <c r="H70">
        <f t="shared" si="3"/>
        <v>2</v>
      </c>
      <c r="I70">
        <f>IF(AND(H70&gt;1,COUNTIF($G$2:G70,G70)=1),1,0)</f>
        <v>1</v>
      </c>
      <c r="J70">
        <f>SUM($I$2:I70)</f>
        <v>17</v>
      </c>
    </row>
    <row r="71" spans="1:10" x14ac:dyDescent="0.25">
      <c r="A71" s="7" t="s">
        <v>171</v>
      </c>
      <c r="B71" s="7" t="s">
        <v>64</v>
      </c>
      <c r="C71" s="8">
        <v>25.052319000000001</v>
      </c>
      <c r="D71" s="8">
        <v>121.544011</v>
      </c>
      <c r="E71" s="7" t="s">
        <v>360</v>
      </c>
      <c r="F71" s="7" t="s">
        <v>361</v>
      </c>
      <c r="G71" t="str">
        <f t="shared" si="2"/>
        <v>25.0523190|121.5440110</v>
      </c>
      <c r="H71">
        <f t="shared" si="3"/>
        <v>2</v>
      </c>
      <c r="I71">
        <f>IF(AND(H71&gt;1,COUNTIF($G$2:G71,G71)=1),1,0)</f>
        <v>0</v>
      </c>
      <c r="J71">
        <f>SUM($I$2:I71)</f>
        <v>17</v>
      </c>
    </row>
    <row r="72" spans="1:10" x14ac:dyDescent="0.25">
      <c r="A72" s="11" t="s">
        <v>172</v>
      </c>
      <c r="B72" s="11" t="s">
        <v>173</v>
      </c>
      <c r="C72" s="12">
        <v>25.051836000000002</v>
      </c>
      <c r="D72" s="12">
        <v>121.55153</v>
      </c>
      <c r="E72" s="11"/>
      <c r="F72" s="11"/>
      <c r="G72" t="str">
        <f t="shared" si="2"/>
        <v>25.0518360|121.5515300</v>
      </c>
      <c r="H72">
        <f t="shared" si="3"/>
        <v>1</v>
      </c>
      <c r="I72">
        <f>IF(AND(H72&gt;1,COUNTIF($G$2:G72,G72)=1),1,0)</f>
        <v>0</v>
      </c>
      <c r="J72">
        <f>SUM($I$2:I72)</f>
        <v>17</v>
      </c>
    </row>
    <row r="73" spans="1:10" x14ac:dyDescent="0.25">
      <c r="A73" s="11" t="s">
        <v>174</v>
      </c>
      <c r="B73" s="11" t="s">
        <v>175</v>
      </c>
      <c r="C73" s="12">
        <v>25.051652000000001</v>
      </c>
      <c r="D73" s="12">
        <v>121.564708</v>
      </c>
      <c r="E73" s="11"/>
      <c r="F73" s="11"/>
      <c r="G73" t="str">
        <f t="shared" si="2"/>
        <v>25.0516520|121.5647080</v>
      </c>
      <c r="H73">
        <f t="shared" si="3"/>
        <v>1</v>
      </c>
      <c r="I73">
        <f>IF(AND(H73&gt;1,COUNTIF($G$2:G73,G73)=1),1,0)</f>
        <v>0</v>
      </c>
      <c r="J73">
        <f>SUM($I$2:I73)</f>
        <v>17</v>
      </c>
    </row>
    <row r="74" spans="1:10" x14ac:dyDescent="0.25">
      <c r="A74" s="7" t="s">
        <v>176</v>
      </c>
      <c r="B74" s="7" t="s">
        <v>177</v>
      </c>
      <c r="C74" s="8">
        <v>25.050118000000001</v>
      </c>
      <c r="D74" s="8">
        <v>121.57770600000001</v>
      </c>
      <c r="E74" s="7" t="s">
        <v>388</v>
      </c>
      <c r="F74" s="7" t="s">
        <v>389</v>
      </c>
      <c r="G74" t="str">
        <f t="shared" si="2"/>
        <v>25.0501180|121.5777060</v>
      </c>
      <c r="H74">
        <f t="shared" si="3"/>
        <v>2</v>
      </c>
      <c r="I74">
        <f>IF(AND(H74&gt;1,COUNTIF($G$2:G74,G74)=1),1,0)</f>
        <v>1</v>
      </c>
      <c r="J74">
        <f>SUM($I$2:I74)</f>
        <v>18</v>
      </c>
    </row>
    <row r="75" spans="1:10" x14ac:dyDescent="0.25">
      <c r="A75" s="11" t="s">
        <v>178</v>
      </c>
      <c r="B75" s="11" t="s">
        <v>179</v>
      </c>
      <c r="C75" s="12">
        <v>24.990044999999999</v>
      </c>
      <c r="D75" s="12">
        <v>121.509237</v>
      </c>
      <c r="E75" s="11"/>
      <c r="F75" s="11"/>
      <c r="G75" t="str">
        <f t="shared" si="2"/>
        <v>24.9900450|121.5092370</v>
      </c>
      <c r="H75">
        <f t="shared" si="3"/>
        <v>1</v>
      </c>
      <c r="I75">
        <f>IF(AND(H75&gt;1,COUNTIF($G$2:G75,G75)=1),1,0)</f>
        <v>0</v>
      </c>
      <c r="J75">
        <f>SUM($I$2:I75)</f>
        <v>18</v>
      </c>
    </row>
    <row r="76" spans="1:10" x14ac:dyDescent="0.25">
      <c r="A76" s="7" t="s">
        <v>180</v>
      </c>
      <c r="B76" s="7" t="s">
        <v>181</v>
      </c>
      <c r="C76" s="8">
        <v>24.993905000000002</v>
      </c>
      <c r="D76" s="8">
        <v>121.50511299999999</v>
      </c>
      <c r="E76" s="7" t="s">
        <v>390</v>
      </c>
      <c r="F76" s="7" t="s">
        <v>391</v>
      </c>
      <c r="G76" t="str">
        <f t="shared" si="2"/>
        <v>24.9939050|121.5051130</v>
      </c>
      <c r="H76">
        <f t="shared" si="3"/>
        <v>2</v>
      </c>
      <c r="I76">
        <f>IF(AND(H76&gt;1,COUNTIF($G$2:G76,G76)=1),1,0)</f>
        <v>1</v>
      </c>
      <c r="J76">
        <f>SUM($I$2:I76)</f>
        <v>19</v>
      </c>
    </row>
    <row r="77" spans="1:10" x14ac:dyDescent="0.25">
      <c r="A77" s="11" t="s">
        <v>182</v>
      </c>
      <c r="B77" s="11" t="s">
        <v>183</v>
      </c>
      <c r="C77" s="12">
        <v>25.002876000000001</v>
      </c>
      <c r="D77" s="12">
        <v>121.511231</v>
      </c>
      <c r="E77" s="11"/>
      <c r="F77" s="11"/>
      <c r="G77" t="str">
        <f t="shared" si="2"/>
        <v>25.0028760|121.5112310</v>
      </c>
      <c r="H77">
        <f t="shared" si="3"/>
        <v>1</v>
      </c>
      <c r="I77">
        <f>IF(AND(H77&gt;1,COUNTIF($G$2:G77,G77)=1),1,0)</f>
        <v>0</v>
      </c>
      <c r="J77">
        <f>SUM($I$2:I77)</f>
        <v>19</v>
      </c>
    </row>
    <row r="78" spans="1:10" x14ac:dyDescent="0.25">
      <c r="A78" s="11" t="s">
        <v>184</v>
      </c>
      <c r="B78" s="11" t="s">
        <v>185</v>
      </c>
      <c r="C78" s="12">
        <v>25.013821</v>
      </c>
      <c r="D78" s="12">
        <v>121.515485</v>
      </c>
      <c r="E78" s="11"/>
      <c r="F78" s="11"/>
      <c r="G78" t="str">
        <f t="shared" si="2"/>
        <v>25.0138210|121.5154850</v>
      </c>
      <c r="H78">
        <f t="shared" si="3"/>
        <v>1</v>
      </c>
      <c r="I78">
        <f>IF(AND(H78&gt;1,COUNTIF($G$2:G78,G78)=1),1,0)</f>
        <v>0</v>
      </c>
      <c r="J78">
        <f>SUM($I$2:I78)</f>
        <v>19</v>
      </c>
    </row>
    <row r="79" spans="1:10" x14ac:dyDescent="0.25">
      <c r="A79" s="7" t="s">
        <v>186</v>
      </c>
      <c r="B79" s="7" t="s">
        <v>160</v>
      </c>
      <c r="C79" s="8">
        <v>25.026357000000001</v>
      </c>
      <c r="D79" s="8">
        <v>121.522873</v>
      </c>
      <c r="E79" s="7" t="s">
        <v>382</v>
      </c>
      <c r="F79" s="7" t="s">
        <v>383</v>
      </c>
      <c r="G79" t="str">
        <f t="shared" si="2"/>
        <v>25.0263570|121.5228730</v>
      </c>
      <c r="H79">
        <f t="shared" si="3"/>
        <v>2</v>
      </c>
      <c r="I79">
        <f>IF(AND(H79&gt;1,COUNTIF($G$2:G79,G79)=1),1,0)</f>
        <v>0</v>
      </c>
      <c r="J79">
        <f>SUM($I$2:I79)</f>
        <v>19</v>
      </c>
    </row>
    <row r="80" spans="1:10" x14ac:dyDescent="0.25">
      <c r="A80" s="7" t="s">
        <v>187</v>
      </c>
      <c r="B80" s="7" t="s">
        <v>103</v>
      </c>
      <c r="C80" s="8">
        <v>25.033847000000002</v>
      </c>
      <c r="D80" s="8">
        <v>121.528739</v>
      </c>
      <c r="E80" s="7" t="s">
        <v>368</v>
      </c>
      <c r="F80" s="7" t="s">
        <v>369</v>
      </c>
      <c r="G80" t="str">
        <f t="shared" si="2"/>
        <v>25.0338470|121.5287390</v>
      </c>
      <c r="H80">
        <f t="shared" si="3"/>
        <v>2</v>
      </c>
      <c r="I80">
        <f>IF(AND(H80&gt;1,COUNTIF($G$2:G80,G80)=1),1,0)</f>
        <v>0</v>
      </c>
      <c r="J80">
        <f>SUM($I$2:I80)</f>
        <v>19</v>
      </c>
    </row>
    <row r="81" spans="1:10" x14ac:dyDescent="0.25">
      <c r="A81" s="7" t="s">
        <v>188</v>
      </c>
      <c r="B81" s="7" t="s">
        <v>189</v>
      </c>
      <c r="C81" s="8">
        <v>25.042356000000002</v>
      </c>
      <c r="D81" s="8">
        <v>121.532905</v>
      </c>
      <c r="E81" s="7" t="s">
        <v>392</v>
      </c>
      <c r="F81" s="7" t="s">
        <v>393</v>
      </c>
      <c r="G81" t="str">
        <f t="shared" si="2"/>
        <v>25.0423560|121.5329050</v>
      </c>
      <c r="H81">
        <f t="shared" si="3"/>
        <v>2</v>
      </c>
      <c r="I81">
        <f>IF(AND(H81&gt;1,COUNTIF($G$2:G81,G81)=1),1,0)</f>
        <v>1</v>
      </c>
      <c r="J81">
        <f>SUM($I$2:I81)</f>
        <v>20</v>
      </c>
    </row>
    <row r="82" spans="1:10" x14ac:dyDescent="0.25">
      <c r="A82" s="7" t="s">
        <v>190</v>
      </c>
      <c r="B82" s="7" t="s">
        <v>170</v>
      </c>
      <c r="C82" s="8">
        <v>25.052015000000001</v>
      </c>
      <c r="D82" s="8">
        <v>121.533075</v>
      </c>
      <c r="E82" s="7" t="s">
        <v>386</v>
      </c>
      <c r="F82" s="7" t="s">
        <v>387</v>
      </c>
      <c r="G82" t="str">
        <f t="shared" si="2"/>
        <v>25.0520150|121.5330750</v>
      </c>
      <c r="H82">
        <f t="shared" si="3"/>
        <v>2</v>
      </c>
      <c r="I82">
        <f>IF(AND(H82&gt;1,COUNTIF($G$2:G82,G82)=1),1,0)</f>
        <v>0</v>
      </c>
      <c r="J82">
        <f>SUM($I$2:I82)</f>
        <v>20</v>
      </c>
    </row>
    <row r="83" spans="1:10" x14ac:dyDescent="0.25">
      <c r="A83" s="11" t="s">
        <v>191</v>
      </c>
      <c r="B83" s="11" t="s">
        <v>192</v>
      </c>
      <c r="C83" s="12">
        <v>25.059718</v>
      </c>
      <c r="D83" s="12">
        <v>121.533185</v>
      </c>
      <c r="E83" s="11"/>
      <c r="F83" s="11"/>
      <c r="G83" t="str">
        <f t="shared" si="2"/>
        <v>25.0597180|121.5331850</v>
      </c>
      <c r="H83">
        <f t="shared" si="3"/>
        <v>1</v>
      </c>
      <c r="I83">
        <f>IF(AND(H83&gt;1,COUNTIF($G$2:G83,G83)=1),1,0)</f>
        <v>0</v>
      </c>
      <c r="J83">
        <f>SUM($I$2:I83)</f>
        <v>20</v>
      </c>
    </row>
    <row r="84" spans="1:10" x14ac:dyDescent="0.25">
      <c r="A84" s="11" t="s">
        <v>193</v>
      </c>
      <c r="B84" s="11" t="s">
        <v>194</v>
      </c>
      <c r="C84" s="12">
        <v>25.062694</v>
      </c>
      <c r="D84" s="12">
        <v>121.526419</v>
      </c>
      <c r="E84" s="11"/>
      <c r="F84" s="11"/>
      <c r="G84" t="str">
        <f t="shared" si="2"/>
        <v>25.0626940|121.5264190</v>
      </c>
      <c r="H84">
        <f t="shared" si="3"/>
        <v>1</v>
      </c>
      <c r="I84">
        <f>IF(AND(H84&gt;1,COUNTIF($G$2:G84,G84)=1),1,0)</f>
        <v>0</v>
      </c>
      <c r="J84">
        <f>SUM($I$2:I84)</f>
        <v>20</v>
      </c>
    </row>
    <row r="85" spans="1:10" x14ac:dyDescent="0.25">
      <c r="A85" s="7" t="s">
        <v>195</v>
      </c>
      <c r="B85" s="7" t="s">
        <v>115</v>
      </c>
      <c r="C85" s="8">
        <v>25.062905000000001</v>
      </c>
      <c r="D85" s="8">
        <v>121.51931999999999</v>
      </c>
      <c r="E85" s="7" t="s">
        <v>376</v>
      </c>
      <c r="F85" s="7" t="s">
        <v>377</v>
      </c>
      <c r="G85" t="str">
        <f t="shared" si="2"/>
        <v>25.0629050|121.5193200</v>
      </c>
      <c r="H85">
        <f t="shared" si="3"/>
        <v>2</v>
      </c>
      <c r="I85">
        <f>IF(AND(H85&gt;1,COUNTIF($G$2:G85,G85)=1),1,0)</f>
        <v>0</v>
      </c>
      <c r="J85">
        <f>SUM($I$2:I85)</f>
        <v>20</v>
      </c>
    </row>
    <row r="86" spans="1:10" x14ac:dyDescent="0.25">
      <c r="A86" s="11" t="s">
        <v>196</v>
      </c>
      <c r="B86" s="11" t="s">
        <v>197</v>
      </c>
      <c r="C86" s="12">
        <v>25.063255999999999</v>
      </c>
      <c r="D86" s="12">
        <v>121.51272</v>
      </c>
      <c r="E86" s="11"/>
      <c r="F86" s="11"/>
      <c r="G86" t="str">
        <f t="shared" si="2"/>
        <v>25.0632560|121.5127200</v>
      </c>
      <c r="H86">
        <f t="shared" si="3"/>
        <v>1</v>
      </c>
      <c r="I86">
        <f>IF(AND(H86&gt;1,COUNTIF($G$2:G86,G86)=1),1,0)</f>
        <v>0</v>
      </c>
      <c r="J86">
        <f>SUM($I$2:I86)</f>
        <v>20</v>
      </c>
    </row>
    <row r="87" spans="1:10" x14ac:dyDescent="0.25">
      <c r="A87" s="11" t="s">
        <v>198</v>
      </c>
      <c r="B87" s="11" t="s">
        <v>199</v>
      </c>
      <c r="C87" s="12">
        <v>25.063274</v>
      </c>
      <c r="D87" s="12">
        <v>121.50076199999999</v>
      </c>
      <c r="E87" s="11"/>
      <c r="F87" s="11"/>
      <c r="G87" t="str">
        <f t="shared" si="2"/>
        <v>25.0632740|121.5007620</v>
      </c>
      <c r="H87">
        <f t="shared" si="3"/>
        <v>1</v>
      </c>
      <c r="I87">
        <f>IF(AND(H87&gt;1,COUNTIF($G$2:G87,G87)=1),1,0)</f>
        <v>0</v>
      </c>
      <c r="J87">
        <f>SUM($I$2:I87)</f>
        <v>20</v>
      </c>
    </row>
    <row r="88" spans="1:10" x14ac:dyDescent="0.25">
      <c r="A88" s="11" t="s">
        <v>200</v>
      </c>
      <c r="B88" s="11" t="s">
        <v>201</v>
      </c>
      <c r="C88" s="12">
        <v>25.060274</v>
      </c>
      <c r="D88" s="12">
        <v>121.49215599999999</v>
      </c>
      <c r="E88" s="11"/>
      <c r="F88" s="11"/>
      <c r="G88" t="str">
        <f t="shared" si="2"/>
        <v>25.0602740|121.4921560</v>
      </c>
      <c r="H88">
        <f t="shared" si="3"/>
        <v>1</v>
      </c>
      <c r="I88">
        <f>IF(AND(H88&gt;1,COUNTIF($G$2:G88,G88)=1),1,0)</f>
        <v>0</v>
      </c>
      <c r="J88">
        <f>SUM($I$2:I88)</f>
        <v>20</v>
      </c>
    </row>
    <row r="89" spans="1:10" x14ac:dyDescent="0.25">
      <c r="A89" s="11" t="s">
        <v>202</v>
      </c>
      <c r="B89" s="11" t="s">
        <v>203</v>
      </c>
      <c r="C89" s="12">
        <v>25.055790999999999</v>
      </c>
      <c r="D89" s="12">
        <v>121.484725</v>
      </c>
      <c r="E89" s="11"/>
      <c r="F89" s="11"/>
      <c r="G89" t="str">
        <f t="shared" si="2"/>
        <v>25.0557910|121.4847250</v>
      </c>
      <c r="H89">
        <f t="shared" si="3"/>
        <v>1</v>
      </c>
      <c r="I89">
        <f>IF(AND(H89&gt;1,COUNTIF($G$2:G89,G89)=1),1,0)</f>
        <v>0</v>
      </c>
      <c r="J89">
        <f>SUM($I$2:I89)</f>
        <v>20</v>
      </c>
    </row>
    <row r="90" spans="1:10" x14ac:dyDescent="0.25">
      <c r="A90" s="11" t="s">
        <v>204</v>
      </c>
      <c r="B90" s="11" t="s">
        <v>205</v>
      </c>
      <c r="C90" s="12">
        <v>25.046493000000002</v>
      </c>
      <c r="D90" s="12">
        <v>121.47191599999999</v>
      </c>
      <c r="E90" s="11"/>
      <c r="F90" s="11"/>
      <c r="G90" t="str">
        <f t="shared" si="2"/>
        <v>25.0464930|121.4719160</v>
      </c>
      <c r="H90">
        <f t="shared" si="3"/>
        <v>1</v>
      </c>
      <c r="I90">
        <f>IF(AND(H90&gt;1,COUNTIF($G$2:G90,G90)=1),1,0)</f>
        <v>0</v>
      </c>
      <c r="J90">
        <f>SUM($I$2:I90)</f>
        <v>20</v>
      </c>
    </row>
    <row r="91" spans="1:10" x14ac:dyDescent="0.25">
      <c r="A91" s="7" t="s">
        <v>206</v>
      </c>
      <c r="B91" s="7" t="s">
        <v>207</v>
      </c>
      <c r="C91" s="8">
        <v>25.039705000000001</v>
      </c>
      <c r="D91" s="8">
        <v>121.46174600000001</v>
      </c>
      <c r="E91" s="7" t="s">
        <v>394</v>
      </c>
      <c r="F91" s="7" t="s">
        <v>395</v>
      </c>
      <c r="G91" t="str">
        <f t="shared" si="2"/>
        <v>25.0397050|121.4617460</v>
      </c>
      <c r="H91">
        <f t="shared" si="3"/>
        <v>2</v>
      </c>
      <c r="I91">
        <f>IF(AND(H91&gt;1,COUNTIF($G$2:G91,G91)=1),1,0)</f>
        <v>1</v>
      </c>
      <c r="J91">
        <f>SUM($I$2:I91)</f>
        <v>21</v>
      </c>
    </row>
    <row r="92" spans="1:10" x14ac:dyDescent="0.25">
      <c r="A92" s="11" t="s">
        <v>208</v>
      </c>
      <c r="B92" s="11" t="s">
        <v>209</v>
      </c>
      <c r="C92" s="12">
        <v>25.036124999999998</v>
      </c>
      <c r="D92" s="12">
        <v>121.452468</v>
      </c>
      <c r="E92" s="11"/>
      <c r="F92" s="11"/>
      <c r="G92" t="str">
        <f t="shared" si="2"/>
        <v>25.0361250|121.4524680</v>
      </c>
      <c r="H92">
        <f t="shared" si="3"/>
        <v>1</v>
      </c>
      <c r="I92">
        <f>IF(AND(H92&gt;1,COUNTIF($G$2:G92,G92)=1),1,0)</f>
        <v>0</v>
      </c>
      <c r="J92">
        <f>SUM($I$2:I92)</f>
        <v>21</v>
      </c>
    </row>
    <row r="93" spans="1:10" x14ac:dyDescent="0.25">
      <c r="A93" s="11" t="s">
        <v>210</v>
      </c>
      <c r="B93" s="11" t="s">
        <v>211</v>
      </c>
      <c r="C93" s="12">
        <v>25.032717999999999</v>
      </c>
      <c r="D93" s="12">
        <v>121.43547</v>
      </c>
      <c r="E93" s="11"/>
      <c r="F93" s="11"/>
      <c r="G93" t="str">
        <f t="shared" si="2"/>
        <v>25.0327180|121.4354700</v>
      </c>
      <c r="H93">
        <f t="shared" si="3"/>
        <v>1</v>
      </c>
      <c r="I93">
        <f>IF(AND(H93&gt;1,COUNTIF($G$2:G93,G93)=1),1,0)</f>
        <v>0</v>
      </c>
      <c r="J93">
        <f>SUM($I$2:I93)</f>
        <v>21</v>
      </c>
    </row>
    <row r="94" spans="1:10" x14ac:dyDescent="0.25">
      <c r="A94" s="11" t="s">
        <v>212</v>
      </c>
      <c r="B94" s="11" t="s">
        <v>213</v>
      </c>
      <c r="C94" s="12">
        <v>25.028867099999999</v>
      </c>
      <c r="D94" s="12">
        <v>121.42270790000001</v>
      </c>
      <c r="E94" s="11"/>
      <c r="F94" s="11"/>
      <c r="G94" t="str">
        <f t="shared" si="2"/>
        <v>25.0288671|121.4227079</v>
      </c>
      <c r="H94">
        <f t="shared" si="3"/>
        <v>1</v>
      </c>
      <c r="I94">
        <f>IF(AND(H94&gt;1,COUNTIF($G$2:G94,G94)=1),1,0)</f>
        <v>0</v>
      </c>
      <c r="J94">
        <f>SUM($I$2:I94)</f>
        <v>21</v>
      </c>
    </row>
    <row r="95" spans="1:10" x14ac:dyDescent="0.25">
      <c r="A95" s="11" t="s">
        <v>214</v>
      </c>
      <c r="B95" s="11" t="s">
        <v>215</v>
      </c>
      <c r="C95" s="12">
        <v>25.021861999999999</v>
      </c>
      <c r="D95" s="12">
        <v>121.41127</v>
      </c>
      <c r="E95" s="11"/>
      <c r="F95" s="11"/>
      <c r="G95" t="str">
        <f t="shared" si="2"/>
        <v>25.0218620|121.4112700</v>
      </c>
      <c r="H95">
        <f t="shared" si="3"/>
        <v>1</v>
      </c>
      <c r="I95">
        <f>IF(AND(H95&gt;1,COUNTIF($G$2:G95,G95)=1),1,0)</f>
        <v>0</v>
      </c>
      <c r="J95">
        <f>SUM($I$2:I95)</f>
        <v>21</v>
      </c>
    </row>
    <row r="96" spans="1:10" x14ac:dyDescent="0.25">
      <c r="A96" s="11" t="s">
        <v>216</v>
      </c>
      <c r="B96" s="11" t="s">
        <v>217</v>
      </c>
      <c r="C96" s="12">
        <v>25.070319000000001</v>
      </c>
      <c r="D96" s="12">
        <v>121.496904</v>
      </c>
      <c r="E96" s="11"/>
      <c r="F96" s="11"/>
      <c r="G96" t="str">
        <f t="shared" si="2"/>
        <v>25.0703190|121.4969040</v>
      </c>
      <c r="H96">
        <f t="shared" si="3"/>
        <v>1</v>
      </c>
      <c r="I96">
        <f>IF(AND(H96&gt;1,COUNTIF($G$2:G96,G96)=1),1,0)</f>
        <v>0</v>
      </c>
      <c r="J96">
        <f>SUM($I$2:I96)</f>
        <v>21</v>
      </c>
    </row>
    <row r="97" spans="1:10" x14ac:dyDescent="0.25">
      <c r="A97" s="11" t="s">
        <v>218</v>
      </c>
      <c r="B97" s="11" t="s">
        <v>219</v>
      </c>
      <c r="C97" s="12">
        <v>25.076858999999999</v>
      </c>
      <c r="D97" s="12">
        <v>121.48634699999999</v>
      </c>
      <c r="E97" s="11"/>
      <c r="F97" s="11"/>
      <c r="G97" t="str">
        <f t="shared" si="2"/>
        <v>25.0768590|121.4863470</v>
      </c>
      <c r="H97">
        <f t="shared" si="3"/>
        <v>1</v>
      </c>
      <c r="I97">
        <f>IF(AND(H97&gt;1,COUNTIF($G$2:G97,G97)=1),1,0)</f>
        <v>0</v>
      </c>
      <c r="J97">
        <f>SUM($I$2:I97)</f>
        <v>21</v>
      </c>
    </row>
    <row r="98" spans="1:10" x14ac:dyDescent="0.25">
      <c r="A98" s="7" t="s">
        <v>220</v>
      </c>
      <c r="B98" s="7" t="s">
        <v>221</v>
      </c>
      <c r="C98" s="8">
        <v>25.080728000000001</v>
      </c>
      <c r="D98" s="8">
        <v>121.47967300000001</v>
      </c>
      <c r="E98" s="7" t="s">
        <v>396</v>
      </c>
      <c r="F98" s="7" t="s">
        <v>397</v>
      </c>
      <c r="G98" t="str">
        <f t="shared" si="2"/>
        <v>25.0807280|121.4796730</v>
      </c>
      <c r="H98">
        <f t="shared" si="3"/>
        <v>2</v>
      </c>
      <c r="I98">
        <f>IF(AND(H98&gt;1,COUNTIF($G$2:G98,G98)=1),1,0)</f>
        <v>1</v>
      </c>
      <c r="J98">
        <f>SUM($I$2:I98)</f>
        <v>22</v>
      </c>
    </row>
    <row r="99" spans="1:10" x14ac:dyDescent="0.25">
      <c r="A99" s="11" t="s">
        <v>222</v>
      </c>
      <c r="B99" s="11" t="s">
        <v>223</v>
      </c>
      <c r="C99" s="12">
        <v>25.085456000000001</v>
      </c>
      <c r="D99" s="12">
        <v>121.473389</v>
      </c>
      <c r="E99" s="11"/>
      <c r="F99" s="11"/>
      <c r="G99" t="str">
        <f t="shared" si="2"/>
        <v>25.0854560|121.4733890</v>
      </c>
      <c r="H99">
        <f t="shared" si="3"/>
        <v>1</v>
      </c>
      <c r="I99">
        <f>IF(AND(H99&gt;1,COUNTIF($G$2:G99,G99)=1),1,0)</f>
        <v>0</v>
      </c>
      <c r="J99">
        <f>SUM($I$2:I99)</f>
        <v>22</v>
      </c>
    </row>
    <row r="100" spans="1:10" x14ac:dyDescent="0.25">
      <c r="A100" s="11" t="s">
        <v>224</v>
      </c>
      <c r="B100" s="11" t="s">
        <v>225</v>
      </c>
      <c r="C100" s="12">
        <v>25.091553999999999</v>
      </c>
      <c r="D100" s="12">
        <v>121.464471</v>
      </c>
      <c r="E100" s="11"/>
      <c r="F100" s="11"/>
      <c r="G100" t="str">
        <f t="shared" si="2"/>
        <v>25.0915540|121.4644710</v>
      </c>
      <c r="H100">
        <f t="shared" si="3"/>
        <v>1</v>
      </c>
      <c r="I100">
        <f>IF(AND(H100&gt;1,COUNTIF($G$2:G100,G100)=1),1,0)</f>
        <v>0</v>
      </c>
      <c r="J100">
        <f>SUM($I$2:I100)</f>
        <v>22</v>
      </c>
    </row>
    <row r="101" spans="1:10" x14ac:dyDescent="0.25">
      <c r="A101" s="11" t="s">
        <v>226</v>
      </c>
      <c r="B101" s="11" t="s">
        <v>227</v>
      </c>
      <c r="C101" s="12">
        <v>24.96012</v>
      </c>
      <c r="D101" s="12">
        <v>121.4205</v>
      </c>
      <c r="E101" s="11"/>
      <c r="F101" s="11"/>
      <c r="G101" t="str">
        <f t="shared" si="2"/>
        <v>24.9601200|121.4205000</v>
      </c>
      <c r="H101">
        <f t="shared" si="3"/>
        <v>1</v>
      </c>
      <c r="I101">
        <f>IF(AND(H101&gt;1,COUNTIF($G$2:G101,G101)=1),1,0)</f>
        <v>0</v>
      </c>
      <c r="J101">
        <f>SUM($I$2:I101)</f>
        <v>22</v>
      </c>
    </row>
    <row r="102" spans="1:10" x14ac:dyDescent="0.25">
      <c r="A102" s="11" t="s">
        <v>228</v>
      </c>
      <c r="B102" s="11" t="s">
        <v>229</v>
      </c>
      <c r="C102" s="12">
        <v>24.966726000000001</v>
      </c>
      <c r="D102" s="12">
        <v>121.436072</v>
      </c>
      <c r="E102" s="11"/>
      <c r="F102" s="11"/>
      <c r="G102" t="str">
        <f t="shared" si="2"/>
        <v>24.9667260|121.4360720</v>
      </c>
      <c r="H102">
        <f t="shared" si="3"/>
        <v>1</v>
      </c>
      <c r="I102">
        <f>IF(AND(H102&gt;1,COUNTIF($G$2:G102,G102)=1),1,0)</f>
        <v>0</v>
      </c>
      <c r="J102">
        <f>SUM($I$2:I102)</f>
        <v>22</v>
      </c>
    </row>
    <row r="103" spans="1:10" x14ac:dyDescent="0.25">
      <c r="A103" s="11" t="s">
        <v>230</v>
      </c>
      <c r="B103" s="11" t="s">
        <v>231</v>
      </c>
      <c r="C103" s="12">
        <v>24.973094</v>
      </c>
      <c r="D103" s="12">
        <v>121.444362</v>
      </c>
      <c r="E103" s="11"/>
      <c r="F103" s="11"/>
      <c r="G103" t="str">
        <f t="shared" si="2"/>
        <v>24.9730940|121.4443620</v>
      </c>
      <c r="H103">
        <f t="shared" si="3"/>
        <v>1</v>
      </c>
      <c r="I103">
        <f>IF(AND(H103&gt;1,COUNTIF($G$2:G103,G103)=1),1,0)</f>
        <v>0</v>
      </c>
      <c r="J103">
        <f>SUM($I$2:I103)</f>
        <v>22</v>
      </c>
    </row>
    <row r="104" spans="1:10" x14ac:dyDescent="0.25">
      <c r="A104" s="11" t="s">
        <v>232</v>
      </c>
      <c r="B104" s="11" t="s">
        <v>233</v>
      </c>
      <c r="C104" s="12">
        <v>24.985339</v>
      </c>
      <c r="D104" s="12">
        <v>121.448786</v>
      </c>
      <c r="E104" s="11"/>
      <c r="F104" s="11"/>
      <c r="G104" t="str">
        <f t="shared" si="2"/>
        <v>24.9853390|121.4487860</v>
      </c>
      <c r="H104">
        <f t="shared" si="3"/>
        <v>1</v>
      </c>
      <c r="I104">
        <f>IF(AND(H104&gt;1,COUNTIF($G$2:G104,G104)=1),1,0)</f>
        <v>0</v>
      </c>
      <c r="J104">
        <f>SUM($I$2:I104)</f>
        <v>22</v>
      </c>
    </row>
    <row r="105" spans="1:10" x14ac:dyDescent="0.25">
      <c r="A105" s="11" t="s">
        <v>234</v>
      </c>
      <c r="B105" s="11" t="s">
        <v>235</v>
      </c>
      <c r="C105" s="12">
        <v>24.998037</v>
      </c>
      <c r="D105" s="12">
        <v>121.45251399999999</v>
      </c>
      <c r="E105" s="11"/>
      <c r="F105" s="11"/>
      <c r="G105" t="str">
        <f t="shared" si="2"/>
        <v>24.9980370|121.4525140</v>
      </c>
      <c r="H105">
        <f t="shared" si="3"/>
        <v>1</v>
      </c>
      <c r="I105">
        <f>IF(AND(H105&gt;1,COUNTIF($G$2:G105,G105)=1),1,0)</f>
        <v>0</v>
      </c>
      <c r="J105">
        <f>SUM($I$2:I105)</f>
        <v>22</v>
      </c>
    </row>
    <row r="106" spans="1:10" x14ac:dyDescent="0.25">
      <c r="A106" s="11" t="s">
        <v>236</v>
      </c>
      <c r="B106" s="11" t="s">
        <v>237</v>
      </c>
      <c r="C106" s="12">
        <v>25.008618999999999</v>
      </c>
      <c r="D106" s="12">
        <v>121.45940899999999</v>
      </c>
      <c r="E106" s="11"/>
      <c r="F106" s="11"/>
      <c r="G106" t="str">
        <f t="shared" si="2"/>
        <v>25.0086190|121.4594090</v>
      </c>
      <c r="H106">
        <f t="shared" si="3"/>
        <v>1</v>
      </c>
      <c r="I106">
        <f>IF(AND(H106&gt;1,COUNTIF($G$2:G106,G106)=1),1,0)</f>
        <v>0</v>
      </c>
      <c r="J106">
        <f>SUM($I$2:I106)</f>
        <v>22</v>
      </c>
    </row>
    <row r="107" spans="1:10" x14ac:dyDescent="0.25">
      <c r="A107" s="7" t="s">
        <v>238</v>
      </c>
      <c r="B107" s="7" t="s">
        <v>239</v>
      </c>
      <c r="C107" s="8">
        <v>25.013618000000001</v>
      </c>
      <c r="D107" s="8">
        <v>121.46230199999999</v>
      </c>
      <c r="E107" s="7" t="s">
        <v>398</v>
      </c>
      <c r="F107" s="7" t="s">
        <v>399</v>
      </c>
      <c r="G107" t="str">
        <f t="shared" si="2"/>
        <v>25.0136180|121.4623020</v>
      </c>
      <c r="H107">
        <f t="shared" si="3"/>
        <v>2</v>
      </c>
      <c r="I107">
        <f>IF(AND(H107&gt;1,COUNTIF($G$2:G107,G107)=1),1,0)</f>
        <v>1</v>
      </c>
      <c r="J107">
        <f>SUM($I$2:I107)</f>
        <v>23</v>
      </c>
    </row>
    <row r="108" spans="1:10" x14ac:dyDescent="0.25">
      <c r="A108" s="11" t="s">
        <v>240</v>
      </c>
      <c r="B108" s="11" t="s">
        <v>241</v>
      </c>
      <c r="C108" s="12">
        <v>25.023738000000002</v>
      </c>
      <c r="D108" s="12">
        <v>121.468361</v>
      </c>
      <c r="E108" s="11"/>
      <c r="F108" s="11"/>
      <c r="G108" t="str">
        <f t="shared" si="2"/>
        <v>25.0237380|121.4683610</v>
      </c>
      <c r="H108">
        <f t="shared" si="3"/>
        <v>1</v>
      </c>
      <c r="I108">
        <f>IF(AND(H108&gt;1,COUNTIF($G$2:G108,G108)=1),1,0)</f>
        <v>0</v>
      </c>
      <c r="J108">
        <f>SUM($I$2:I108)</f>
        <v>23</v>
      </c>
    </row>
    <row r="109" spans="1:10" x14ac:dyDescent="0.25">
      <c r="A109" s="11" t="s">
        <v>242</v>
      </c>
      <c r="B109" s="11" t="s">
        <v>243</v>
      </c>
      <c r="C109" s="12">
        <v>25.030010000000001</v>
      </c>
      <c r="D109" s="12">
        <v>121.47239</v>
      </c>
      <c r="E109" s="11"/>
      <c r="F109" s="11"/>
      <c r="G109" t="str">
        <f t="shared" si="2"/>
        <v>25.0300100|121.4723900</v>
      </c>
      <c r="H109">
        <f t="shared" si="3"/>
        <v>1</v>
      </c>
      <c r="I109">
        <f>IF(AND(H109&gt;1,COUNTIF($G$2:G109,G109)=1),1,0)</f>
        <v>0</v>
      </c>
      <c r="J109">
        <f>SUM($I$2:I109)</f>
        <v>23</v>
      </c>
    </row>
    <row r="110" spans="1:10" x14ac:dyDescent="0.25">
      <c r="A110" s="11" t="s">
        <v>244</v>
      </c>
      <c r="B110" s="11" t="s">
        <v>245</v>
      </c>
      <c r="C110" s="12">
        <v>25.03528</v>
      </c>
      <c r="D110" s="12">
        <v>121.499826</v>
      </c>
      <c r="E110" s="11"/>
      <c r="F110" s="11"/>
      <c r="G110" t="str">
        <f t="shared" si="2"/>
        <v>25.0352800|121.4998260</v>
      </c>
      <c r="H110">
        <f t="shared" si="3"/>
        <v>1</v>
      </c>
      <c r="I110">
        <f>IF(AND(H110&gt;1,COUNTIF($G$2:G110,G110)=1),1,0)</f>
        <v>0</v>
      </c>
      <c r="J110">
        <f>SUM($I$2:I110)</f>
        <v>23</v>
      </c>
    </row>
    <row r="111" spans="1:10" x14ac:dyDescent="0.25">
      <c r="A111" s="7" t="s">
        <v>246</v>
      </c>
      <c r="B111" s="7" t="s">
        <v>165</v>
      </c>
      <c r="C111" s="8">
        <v>25.042090000000002</v>
      </c>
      <c r="D111" s="8">
        <v>121.508303</v>
      </c>
      <c r="E111" s="7" t="s">
        <v>384</v>
      </c>
      <c r="F111" s="7" t="s">
        <v>385</v>
      </c>
      <c r="G111" t="str">
        <f t="shared" si="2"/>
        <v>25.0420900|121.5083030</v>
      </c>
      <c r="H111">
        <f t="shared" si="3"/>
        <v>2</v>
      </c>
      <c r="I111">
        <f>IF(AND(H111&gt;1,COUNTIF($G$2:G111,G111)=1),1,0)</f>
        <v>0</v>
      </c>
      <c r="J111">
        <f>SUM($I$2:I111)</f>
        <v>23</v>
      </c>
    </row>
    <row r="112" spans="1:10" x14ac:dyDescent="0.25">
      <c r="A112" s="7" t="s">
        <v>247</v>
      </c>
      <c r="B112" s="7" t="s">
        <v>109</v>
      </c>
      <c r="C112" s="8">
        <v>25.046254999999999</v>
      </c>
      <c r="D112" s="8">
        <v>121.517532</v>
      </c>
      <c r="E112" s="7" t="s">
        <v>372</v>
      </c>
      <c r="F112" s="7" t="s">
        <v>373</v>
      </c>
      <c r="G112" t="str">
        <f t="shared" si="2"/>
        <v>25.0462550|121.5175320</v>
      </c>
      <c r="H112">
        <f t="shared" si="3"/>
        <v>2</v>
      </c>
      <c r="I112">
        <f>IF(AND(H112&gt;1,COUNTIF($G$2:G112,G112)=1),1,0)</f>
        <v>0</v>
      </c>
      <c r="J112">
        <f>SUM($I$2:I112)</f>
        <v>23</v>
      </c>
    </row>
    <row r="113" spans="1:10" x14ac:dyDescent="0.25">
      <c r="A113" s="11" t="s">
        <v>248</v>
      </c>
      <c r="B113" s="11" t="s">
        <v>249</v>
      </c>
      <c r="C113" s="12">
        <v>25.044823000000001</v>
      </c>
      <c r="D113" s="12">
        <v>121.523208</v>
      </c>
      <c r="E113" s="11"/>
      <c r="F113" s="11"/>
      <c r="G113" t="str">
        <f t="shared" si="2"/>
        <v>25.0448230|121.5232080</v>
      </c>
      <c r="H113">
        <f t="shared" si="3"/>
        <v>1</v>
      </c>
      <c r="I113">
        <f>IF(AND(H113&gt;1,COUNTIF($G$2:G113,G113)=1),1,0)</f>
        <v>0</v>
      </c>
      <c r="J113">
        <f>SUM($I$2:I113)</f>
        <v>23</v>
      </c>
    </row>
    <row r="114" spans="1:10" x14ac:dyDescent="0.25">
      <c r="A114" s="7" t="s">
        <v>250</v>
      </c>
      <c r="B114" s="7" t="s">
        <v>189</v>
      </c>
      <c r="C114" s="8">
        <v>25.042356000000002</v>
      </c>
      <c r="D114" s="8">
        <v>121.532905</v>
      </c>
      <c r="E114" s="7" t="s">
        <v>392</v>
      </c>
      <c r="F114" s="7" t="s">
        <v>393</v>
      </c>
      <c r="G114" t="str">
        <f t="shared" si="2"/>
        <v>25.0423560|121.5329050</v>
      </c>
      <c r="H114">
        <f t="shared" si="3"/>
        <v>2</v>
      </c>
      <c r="I114">
        <f>IF(AND(H114&gt;1,COUNTIF($G$2:G114,G114)=1),1,0)</f>
        <v>0</v>
      </c>
      <c r="J114">
        <f>SUM($I$2:I114)</f>
        <v>23</v>
      </c>
    </row>
    <row r="115" spans="1:10" x14ac:dyDescent="0.25">
      <c r="A115" s="7" t="s">
        <v>251</v>
      </c>
      <c r="B115" s="7" t="s">
        <v>62</v>
      </c>
      <c r="C115" s="8">
        <v>25.041629</v>
      </c>
      <c r="D115" s="8">
        <v>121.543767</v>
      </c>
      <c r="E115" s="7" t="s">
        <v>41</v>
      </c>
      <c r="F115" s="7" t="s">
        <v>42</v>
      </c>
      <c r="G115" t="str">
        <f t="shared" si="2"/>
        <v>25.0416290|121.5437670</v>
      </c>
      <c r="H115">
        <f t="shared" si="3"/>
        <v>2</v>
      </c>
      <c r="I115">
        <f>IF(AND(H115&gt;1,COUNTIF($G$2:G115,G115)=1),1,0)</f>
        <v>0</v>
      </c>
      <c r="J115">
        <f>SUM($I$2:I115)</f>
        <v>23</v>
      </c>
    </row>
    <row r="116" spans="1:10" x14ac:dyDescent="0.25">
      <c r="A116" s="11" t="s">
        <v>252</v>
      </c>
      <c r="B116" s="11" t="s">
        <v>253</v>
      </c>
      <c r="C116" s="12">
        <v>25.041478000000001</v>
      </c>
      <c r="D116" s="12">
        <v>121.551098</v>
      </c>
      <c r="E116" s="11"/>
      <c r="F116" s="11"/>
      <c r="G116" t="str">
        <f t="shared" si="2"/>
        <v>25.0414780|121.5510980</v>
      </c>
      <c r="H116">
        <f t="shared" si="3"/>
        <v>1</v>
      </c>
      <c r="I116">
        <f>IF(AND(H116&gt;1,COUNTIF($G$2:G116,G116)=1),1,0)</f>
        <v>0</v>
      </c>
      <c r="J116">
        <f>SUM($I$2:I116)</f>
        <v>23</v>
      </c>
    </row>
    <row r="117" spans="1:10" x14ac:dyDescent="0.25">
      <c r="A117" s="11" t="s">
        <v>254</v>
      </c>
      <c r="B117" s="11" t="s">
        <v>255</v>
      </c>
      <c r="C117" s="12">
        <v>25.041349</v>
      </c>
      <c r="D117" s="12">
        <v>121.557802</v>
      </c>
      <c r="E117" s="11"/>
      <c r="F117" s="11"/>
      <c r="G117" t="str">
        <f t="shared" si="2"/>
        <v>25.0413490|121.5578020</v>
      </c>
      <c r="H117">
        <f t="shared" si="3"/>
        <v>1</v>
      </c>
      <c r="I117">
        <f>IF(AND(H117&gt;1,COUNTIF($G$2:G117,G117)=1),1,0)</f>
        <v>0</v>
      </c>
      <c r="J117">
        <f>SUM($I$2:I117)</f>
        <v>23</v>
      </c>
    </row>
    <row r="118" spans="1:10" x14ac:dyDescent="0.25">
      <c r="A118" s="11" t="s">
        <v>256</v>
      </c>
      <c r="B118" s="11" t="s">
        <v>15</v>
      </c>
      <c r="C118" s="12">
        <v>25.041170999999999</v>
      </c>
      <c r="D118" s="12">
        <v>121.565228</v>
      </c>
      <c r="E118" s="11"/>
      <c r="F118" s="11"/>
      <c r="G118" t="str">
        <f t="shared" si="2"/>
        <v>25.0411710|121.5652280</v>
      </c>
      <c r="H118">
        <f t="shared" si="3"/>
        <v>1</v>
      </c>
      <c r="I118">
        <f>IF(AND(H118&gt;1,COUNTIF($G$2:G118,G118)=1),1,0)</f>
        <v>0</v>
      </c>
      <c r="J118">
        <f>SUM($I$2:I118)</f>
        <v>23</v>
      </c>
    </row>
    <row r="119" spans="1:10" x14ac:dyDescent="0.25">
      <c r="A119" s="7" t="s">
        <v>257</v>
      </c>
      <c r="B119" s="7" t="s">
        <v>258</v>
      </c>
      <c r="C119" s="8">
        <v>25.040859000000001</v>
      </c>
      <c r="D119" s="8">
        <v>121.57629300000001</v>
      </c>
      <c r="E119" s="7" t="s">
        <v>400</v>
      </c>
      <c r="F119" s="7" t="s">
        <v>401</v>
      </c>
      <c r="G119" t="str">
        <f t="shared" si="2"/>
        <v>25.0408590|121.5762930</v>
      </c>
      <c r="H119">
        <f t="shared" si="3"/>
        <v>2</v>
      </c>
      <c r="I119">
        <f>IF(AND(H119&gt;1,COUNTIF($G$2:G119,G119)=1),1,0)</f>
        <v>1</v>
      </c>
      <c r="J119">
        <f>SUM($I$2:I119)</f>
        <v>24</v>
      </c>
    </row>
    <row r="120" spans="1:10" x14ac:dyDescent="0.25">
      <c r="A120" s="11" t="s">
        <v>259</v>
      </c>
      <c r="B120" s="11" t="s">
        <v>260</v>
      </c>
      <c r="C120" s="12">
        <v>25.045055000000001</v>
      </c>
      <c r="D120" s="12">
        <v>121.582522</v>
      </c>
      <c r="E120" s="11"/>
      <c r="F120" s="11"/>
      <c r="G120" t="str">
        <f t="shared" si="2"/>
        <v>25.0450550|121.5825220</v>
      </c>
      <c r="H120">
        <f t="shared" si="3"/>
        <v>1</v>
      </c>
      <c r="I120">
        <f>IF(AND(H120&gt;1,COUNTIF($G$2:G120,G120)=1),1,0)</f>
        <v>0</v>
      </c>
      <c r="J120">
        <f>SUM($I$2:I120)</f>
        <v>24</v>
      </c>
    </row>
    <row r="121" spans="1:10" x14ac:dyDescent="0.25">
      <c r="A121" s="11" t="s">
        <v>261</v>
      </c>
      <c r="B121" s="11" t="s">
        <v>262</v>
      </c>
      <c r="C121" s="12">
        <v>25.050460999999999</v>
      </c>
      <c r="D121" s="12">
        <v>121.59326799999999</v>
      </c>
      <c r="E121" s="11"/>
      <c r="F121" s="11"/>
      <c r="G121" t="str">
        <f t="shared" si="2"/>
        <v>25.0504610|121.5932680</v>
      </c>
      <c r="H121">
        <f t="shared" si="3"/>
        <v>1</v>
      </c>
      <c r="I121">
        <f>IF(AND(H121&gt;1,COUNTIF($G$2:G121,G121)=1),1,0)</f>
        <v>0</v>
      </c>
      <c r="J121">
        <f>SUM($I$2:I121)</f>
        <v>24</v>
      </c>
    </row>
    <row r="122" spans="1:10" x14ac:dyDescent="0.25">
      <c r="A122" s="11" t="s">
        <v>263</v>
      </c>
      <c r="B122" s="11" t="s">
        <v>264</v>
      </c>
      <c r="C122" s="12">
        <v>25.052116000000002</v>
      </c>
      <c r="D122" s="12">
        <v>121.606686</v>
      </c>
      <c r="E122" s="11"/>
      <c r="F122" s="11"/>
      <c r="G122" t="str">
        <f t="shared" si="2"/>
        <v>25.0521160|121.6066860</v>
      </c>
      <c r="H122">
        <f t="shared" si="3"/>
        <v>1</v>
      </c>
      <c r="I122">
        <f>IF(AND(H122&gt;1,COUNTIF($G$2:G122,G122)=1),1,0)</f>
        <v>0</v>
      </c>
      <c r="J122">
        <f>SUM($I$2:I122)</f>
        <v>24</v>
      </c>
    </row>
    <row r="123" spans="1:10" x14ac:dyDescent="0.25">
      <c r="A123" s="7" t="s">
        <v>265</v>
      </c>
      <c r="B123" s="7" t="s">
        <v>90</v>
      </c>
      <c r="C123" s="8">
        <v>25.055288000000001</v>
      </c>
      <c r="D123" s="8">
        <v>121.6175001</v>
      </c>
      <c r="E123" s="7" t="s">
        <v>364</v>
      </c>
      <c r="F123" s="7" t="s">
        <v>365</v>
      </c>
      <c r="G123" t="str">
        <f t="shared" si="2"/>
        <v>25.0552880|121.6175001</v>
      </c>
      <c r="H123">
        <f t="shared" si="3"/>
        <v>2</v>
      </c>
      <c r="I123">
        <f>IF(AND(H123&gt;1,COUNTIF($G$2:G123,G123)=1),1,0)</f>
        <v>0</v>
      </c>
      <c r="J123">
        <f>SUM($I$2:I123)</f>
        <v>24</v>
      </c>
    </row>
    <row r="124" spans="1:10" x14ac:dyDescent="0.25">
      <c r="A124" s="7" t="s">
        <v>266</v>
      </c>
      <c r="B124" s="7" t="s">
        <v>44</v>
      </c>
      <c r="C124" s="8">
        <v>24.998197000000001</v>
      </c>
      <c r="D124" s="8">
        <v>121.57933800000001</v>
      </c>
      <c r="E124" s="7" t="s">
        <v>39</v>
      </c>
      <c r="F124" s="7" t="s">
        <v>40</v>
      </c>
      <c r="G124" t="str">
        <f t="shared" si="2"/>
        <v>24.9981970|121.5793380</v>
      </c>
      <c r="H124">
        <f t="shared" si="3"/>
        <v>2</v>
      </c>
      <c r="I124">
        <f>IF(AND(H124&gt;1,COUNTIF($G$2:G124,G124)=1),1,0)</f>
        <v>0</v>
      </c>
      <c r="J124">
        <f>SUM($I$2:I124)</f>
        <v>24</v>
      </c>
    </row>
    <row r="125" spans="1:10" x14ac:dyDescent="0.25">
      <c r="A125" s="11" t="s">
        <v>267</v>
      </c>
      <c r="B125" s="11" t="s">
        <v>268</v>
      </c>
      <c r="C125" s="12">
        <v>24.988125700000001</v>
      </c>
      <c r="D125" s="12">
        <v>121.5771438</v>
      </c>
      <c r="E125" s="11"/>
      <c r="F125" s="11"/>
      <c r="G125" t="str">
        <f t="shared" si="2"/>
        <v>24.9881257|121.5771438</v>
      </c>
      <c r="H125">
        <f t="shared" si="3"/>
        <v>1</v>
      </c>
      <c r="I125">
        <f>IF(AND(H125&gt;1,COUNTIF($G$2:G125,G125)=1),1,0)</f>
        <v>0</v>
      </c>
      <c r="J125">
        <f>SUM($I$2:I125)</f>
        <v>24</v>
      </c>
    </row>
    <row r="126" spans="1:10" x14ac:dyDescent="0.25">
      <c r="A126" s="11" t="s">
        <v>269</v>
      </c>
      <c r="B126" s="11" t="s">
        <v>270</v>
      </c>
      <c r="C126" s="12">
        <v>24.9902354</v>
      </c>
      <c r="D126" s="12">
        <v>121.5708364</v>
      </c>
      <c r="E126" s="11"/>
      <c r="F126" s="11"/>
      <c r="G126" t="str">
        <f t="shared" si="2"/>
        <v>24.9902354|121.5708364</v>
      </c>
      <c r="H126">
        <f t="shared" si="3"/>
        <v>1</v>
      </c>
      <c r="I126">
        <f>IF(AND(H126&gt;1,COUNTIF($G$2:G126,G126)=1),1,0)</f>
        <v>0</v>
      </c>
      <c r="J126">
        <f>SUM($I$2:I126)</f>
        <v>24</v>
      </c>
    </row>
    <row r="127" spans="1:10" x14ac:dyDescent="0.25">
      <c r="A127" s="11" t="s">
        <v>271</v>
      </c>
      <c r="B127" s="11" t="s">
        <v>272</v>
      </c>
      <c r="C127" s="12">
        <v>24.988766500000001</v>
      </c>
      <c r="D127" s="12">
        <v>121.5611337</v>
      </c>
      <c r="E127" s="11"/>
      <c r="F127" s="11"/>
      <c r="G127" t="str">
        <f t="shared" si="2"/>
        <v>24.9887665|121.5611337</v>
      </c>
      <c r="H127">
        <f t="shared" si="3"/>
        <v>1</v>
      </c>
      <c r="I127">
        <f>IF(AND(H127&gt;1,COUNTIF($G$2:G127,G127)=1),1,0)</f>
        <v>0</v>
      </c>
      <c r="J127">
        <f>SUM($I$2:I127)</f>
        <v>24</v>
      </c>
    </row>
    <row r="128" spans="1:10" x14ac:dyDescent="0.25">
      <c r="A128" s="11" t="s">
        <v>273</v>
      </c>
      <c r="B128" s="11" t="s">
        <v>274</v>
      </c>
      <c r="C128" s="12">
        <v>24.987719299999998</v>
      </c>
      <c r="D128" s="12">
        <v>121.55180660000001</v>
      </c>
      <c r="E128" s="11"/>
      <c r="F128" s="11"/>
      <c r="G128" t="str">
        <f t="shared" si="2"/>
        <v>24.9877193|121.5518066</v>
      </c>
      <c r="H128">
        <f t="shared" si="3"/>
        <v>1</v>
      </c>
      <c r="I128">
        <f>IF(AND(H128&gt;1,COUNTIF($G$2:G128,G128)=1),1,0)</f>
        <v>0</v>
      </c>
      <c r="J128">
        <f>SUM($I$2:I128)</f>
        <v>24</v>
      </c>
    </row>
    <row r="129" spans="1:10" x14ac:dyDescent="0.25">
      <c r="A129" s="11" t="s">
        <v>275</v>
      </c>
      <c r="B129" s="11" t="s">
        <v>276</v>
      </c>
      <c r="C129" s="12">
        <v>24.983687</v>
      </c>
      <c r="D129" s="12">
        <v>121.54991149999999</v>
      </c>
      <c r="E129" s="11"/>
      <c r="F129" s="11"/>
      <c r="G129" t="str">
        <f t="shared" si="2"/>
        <v>24.9836870|121.5499115</v>
      </c>
      <c r="H129">
        <f t="shared" si="3"/>
        <v>1</v>
      </c>
      <c r="I129">
        <f>IF(AND(H129&gt;1,COUNTIF($G$2:G129,G129)=1),1,0)</f>
        <v>0</v>
      </c>
      <c r="J129">
        <f>SUM($I$2:I129)</f>
        <v>24</v>
      </c>
    </row>
    <row r="130" spans="1:10" x14ac:dyDescent="0.25">
      <c r="A130" s="7" t="s">
        <v>277</v>
      </c>
      <c r="B130" s="7" t="s">
        <v>153</v>
      </c>
      <c r="C130" s="8">
        <v>24.982899</v>
      </c>
      <c r="D130" s="8">
        <v>121.541352</v>
      </c>
      <c r="E130" s="7" t="s">
        <v>380</v>
      </c>
      <c r="F130" s="7" t="s">
        <v>381</v>
      </c>
      <c r="G130" t="str">
        <f t="shared" ref="G130:G193" si="4">IF(OR(C130="",D130=""),"",TEXT(C130,"0.0000000")&amp;"|"&amp;TEXT(D130,"0.0000000"))</f>
        <v>24.9828990|121.5413520</v>
      </c>
      <c r="H130">
        <f t="shared" ref="H130:H193" si="5">IF(G130="","",COUNTIF($G$2:$G$500,G130))</f>
        <v>2</v>
      </c>
      <c r="I130">
        <f>IF(AND(H130&gt;1,COUNTIF($G$2:G130,G130)=1),1,0)</f>
        <v>0</v>
      </c>
      <c r="J130">
        <f>SUM($I$2:I130)</f>
        <v>24</v>
      </c>
    </row>
    <row r="131" spans="1:10" x14ac:dyDescent="0.25">
      <c r="A131" s="11" t="s">
        <v>278</v>
      </c>
      <c r="B131" s="11" t="s">
        <v>279</v>
      </c>
      <c r="C131" s="12">
        <v>24.982930199999998</v>
      </c>
      <c r="D131" s="12">
        <v>121.5340099</v>
      </c>
      <c r="E131" s="11"/>
      <c r="F131" s="11"/>
      <c r="G131" t="str">
        <f t="shared" si="4"/>
        <v>24.9829302|121.5340099</v>
      </c>
      <c r="H131">
        <f t="shared" si="5"/>
        <v>1</v>
      </c>
      <c r="I131">
        <f>IF(AND(H131&gt;1,COUNTIF($G$2:G131,G131)=1),1,0)</f>
        <v>0</v>
      </c>
      <c r="J131">
        <f>SUM($I$2:I131)</f>
        <v>24</v>
      </c>
    </row>
    <row r="132" spans="1:10" x14ac:dyDescent="0.25">
      <c r="A132" s="11" t="s">
        <v>280</v>
      </c>
      <c r="B132" s="11" t="s">
        <v>281</v>
      </c>
      <c r="C132" s="12">
        <v>24.990549300000001</v>
      </c>
      <c r="D132" s="12">
        <v>121.52505050000001</v>
      </c>
      <c r="E132" s="11"/>
      <c r="F132" s="11"/>
      <c r="G132" t="str">
        <f t="shared" si="4"/>
        <v>24.9905493|121.5250505</v>
      </c>
      <c r="H132">
        <f t="shared" si="5"/>
        <v>1</v>
      </c>
      <c r="I132">
        <f>IF(AND(H132&gt;1,COUNTIF($G$2:G132,G132)=1),1,0)</f>
        <v>0</v>
      </c>
      <c r="J132">
        <f>SUM($I$2:I132)</f>
        <v>24</v>
      </c>
    </row>
    <row r="133" spans="1:10" x14ac:dyDescent="0.25">
      <c r="A133" s="11" t="s">
        <v>282</v>
      </c>
      <c r="B133" s="11" t="s">
        <v>283</v>
      </c>
      <c r="C133" s="12">
        <v>24.991968100000001</v>
      </c>
      <c r="D133" s="12">
        <v>121.5165532</v>
      </c>
      <c r="E133" s="11"/>
      <c r="F133" s="11"/>
      <c r="G133" t="str">
        <f t="shared" si="4"/>
        <v>24.9919681|121.5165532</v>
      </c>
      <c r="H133">
        <f t="shared" si="5"/>
        <v>1</v>
      </c>
      <c r="I133">
        <f>IF(AND(H133&gt;1,COUNTIF($G$2:G133,G133)=1),1,0)</f>
        <v>0</v>
      </c>
      <c r="J133">
        <f>SUM($I$2:I133)</f>
        <v>24</v>
      </c>
    </row>
    <row r="134" spans="1:10" x14ac:dyDescent="0.25">
      <c r="A134" s="7" t="s">
        <v>284</v>
      </c>
      <c r="B134" s="7" t="s">
        <v>181</v>
      </c>
      <c r="C134" s="8">
        <v>24.993905000000002</v>
      </c>
      <c r="D134" s="8">
        <v>121.50511299999999</v>
      </c>
      <c r="E134" s="7" t="s">
        <v>390</v>
      </c>
      <c r="F134" s="7" t="s">
        <v>391</v>
      </c>
      <c r="G134" t="str">
        <f t="shared" si="4"/>
        <v>24.9939050|121.5051130</v>
      </c>
      <c r="H134">
        <f t="shared" si="5"/>
        <v>2</v>
      </c>
      <c r="I134">
        <f>IF(AND(H134&gt;1,COUNTIF($G$2:G134,G134)=1),1,0)</f>
        <v>0</v>
      </c>
      <c r="J134">
        <f>SUM($I$2:I134)</f>
        <v>24</v>
      </c>
    </row>
    <row r="135" spans="1:10" x14ac:dyDescent="0.25">
      <c r="A135" s="11" t="s">
        <v>285</v>
      </c>
      <c r="B135" s="11" t="s">
        <v>286</v>
      </c>
      <c r="C135" s="12">
        <v>25.0019806</v>
      </c>
      <c r="D135" s="12">
        <v>121.4960519</v>
      </c>
      <c r="E135" s="11"/>
      <c r="F135" s="11"/>
      <c r="G135" t="str">
        <f t="shared" si="4"/>
        <v>25.0019806|121.4960519</v>
      </c>
      <c r="H135">
        <f t="shared" si="5"/>
        <v>1</v>
      </c>
      <c r="I135">
        <f>IF(AND(H135&gt;1,COUNTIF($G$2:G135,G135)=1),1,0)</f>
        <v>0</v>
      </c>
      <c r="J135">
        <f>SUM($I$2:I135)</f>
        <v>24</v>
      </c>
    </row>
    <row r="136" spans="1:10" x14ac:dyDescent="0.25">
      <c r="A136" s="11" t="s">
        <v>287</v>
      </c>
      <c r="B136" s="11" t="s">
        <v>288</v>
      </c>
      <c r="C136" s="12">
        <v>25.004413100000001</v>
      </c>
      <c r="D136" s="12">
        <v>121.49046079999999</v>
      </c>
      <c r="E136" s="11"/>
      <c r="F136" s="11"/>
      <c r="G136" t="str">
        <f t="shared" si="4"/>
        <v>25.0044131|121.4904608</v>
      </c>
      <c r="H136">
        <f t="shared" si="5"/>
        <v>1</v>
      </c>
      <c r="I136">
        <f>IF(AND(H136&gt;1,COUNTIF($G$2:G136,G136)=1),1,0)</f>
        <v>0</v>
      </c>
      <c r="J136">
        <f>SUM($I$2:I136)</f>
        <v>24</v>
      </c>
    </row>
    <row r="137" spans="1:10" x14ac:dyDescent="0.25">
      <c r="A137" s="11" t="s">
        <v>289</v>
      </c>
      <c r="B137" s="11" t="s">
        <v>290</v>
      </c>
      <c r="C137" s="12">
        <v>25.008410399999999</v>
      </c>
      <c r="D137" s="12">
        <v>121.4841593</v>
      </c>
      <c r="E137" s="11"/>
      <c r="F137" s="11"/>
      <c r="G137" t="str">
        <f t="shared" si="4"/>
        <v>25.0084104|121.4841593</v>
      </c>
      <c r="H137">
        <f t="shared" si="5"/>
        <v>1</v>
      </c>
      <c r="I137">
        <f>IF(AND(H137&gt;1,COUNTIF($G$2:G137,G137)=1),1,0)</f>
        <v>0</v>
      </c>
      <c r="J137">
        <f>SUM($I$2:I137)</f>
        <v>24</v>
      </c>
    </row>
    <row r="138" spans="1:10" x14ac:dyDescent="0.25">
      <c r="A138" s="11" t="s">
        <v>291</v>
      </c>
      <c r="B138" s="11" t="s">
        <v>292</v>
      </c>
      <c r="C138" s="12">
        <v>25.014491400000001</v>
      </c>
      <c r="D138" s="12">
        <v>121.4722124</v>
      </c>
      <c r="E138" s="11"/>
      <c r="F138" s="11"/>
      <c r="G138" t="str">
        <f t="shared" si="4"/>
        <v>25.0144914|121.4722124</v>
      </c>
      <c r="H138">
        <f t="shared" si="5"/>
        <v>1</v>
      </c>
      <c r="I138">
        <f>IF(AND(H138&gt;1,COUNTIF($G$2:G138,G138)=1),1,0)</f>
        <v>0</v>
      </c>
      <c r="J138">
        <f>SUM($I$2:I138)</f>
        <v>24</v>
      </c>
    </row>
    <row r="139" spans="1:10" x14ac:dyDescent="0.25">
      <c r="A139" s="7" t="s">
        <v>293</v>
      </c>
      <c r="B139" s="7" t="s">
        <v>239</v>
      </c>
      <c r="C139" s="8">
        <v>25.013618000000001</v>
      </c>
      <c r="D139" s="8">
        <v>121.46230199999999</v>
      </c>
      <c r="E139" s="7" t="s">
        <v>398</v>
      </c>
      <c r="F139" s="7" t="s">
        <v>399</v>
      </c>
      <c r="G139" t="str">
        <f t="shared" si="4"/>
        <v>25.0136180|121.4623020</v>
      </c>
      <c r="H139">
        <f t="shared" si="5"/>
        <v>2</v>
      </c>
      <c r="I139">
        <f>IF(AND(H139&gt;1,COUNTIF($G$2:G139,G139)=1),1,0)</f>
        <v>0</v>
      </c>
      <c r="J139">
        <f>SUM($I$2:I139)</f>
        <v>24</v>
      </c>
    </row>
    <row r="140" spans="1:10" x14ac:dyDescent="0.25">
      <c r="A140" s="11" t="s">
        <v>294</v>
      </c>
      <c r="B140" s="11" t="s">
        <v>295</v>
      </c>
      <c r="C140" s="12">
        <v>25.026125</v>
      </c>
      <c r="D140" s="12">
        <v>121.46683899999999</v>
      </c>
      <c r="E140" s="11"/>
      <c r="F140" s="11"/>
      <c r="G140" t="str">
        <f t="shared" si="4"/>
        <v>25.0261250|121.4668390</v>
      </c>
      <c r="H140">
        <f t="shared" si="5"/>
        <v>1</v>
      </c>
      <c r="I140">
        <f>IF(AND(H140&gt;1,COUNTIF($G$2:G140,G140)=1),1,0)</f>
        <v>0</v>
      </c>
      <c r="J140">
        <f>SUM($I$2:I140)</f>
        <v>24</v>
      </c>
    </row>
    <row r="141" spans="1:10" x14ac:dyDescent="0.25">
      <c r="A141" s="7" t="s">
        <v>296</v>
      </c>
      <c r="B141" s="7" t="s">
        <v>207</v>
      </c>
      <c r="C141" s="8">
        <v>25.039705000000001</v>
      </c>
      <c r="D141" s="8">
        <v>121.46174600000001</v>
      </c>
      <c r="E141" s="7" t="s">
        <v>394</v>
      </c>
      <c r="F141" s="7" t="s">
        <v>395</v>
      </c>
      <c r="G141" t="str">
        <f t="shared" si="4"/>
        <v>25.0397050|121.4617460</v>
      </c>
      <c r="H141">
        <f t="shared" si="5"/>
        <v>2</v>
      </c>
      <c r="I141">
        <f>IF(AND(H141&gt;1,COUNTIF($G$2:G141,G141)=1),1,0)</f>
        <v>0</v>
      </c>
      <c r="J141">
        <f>SUM($I$2:I141)</f>
        <v>24</v>
      </c>
    </row>
    <row r="142" spans="1:10" x14ac:dyDescent="0.25">
      <c r="A142" s="11" t="s">
        <v>297</v>
      </c>
      <c r="B142" s="11" t="s">
        <v>298</v>
      </c>
      <c r="C142" s="12">
        <v>25.050281999999999</v>
      </c>
      <c r="D142" s="12">
        <v>121.460216</v>
      </c>
      <c r="E142" s="11"/>
      <c r="F142" s="11"/>
      <c r="G142" t="str">
        <f t="shared" si="4"/>
        <v>25.0502820|121.4602160</v>
      </c>
      <c r="H142">
        <f t="shared" si="5"/>
        <v>1</v>
      </c>
      <c r="I142">
        <f>IF(AND(H142&gt;1,COUNTIF($G$2:G142,G142)=1),1,0)</f>
        <v>0</v>
      </c>
      <c r="J142">
        <f>SUM($I$2:I142)</f>
        <v>24</v>
      </c>
    </row>
    <row r="143" spans="1:10" x14ac:dyDescent="0.25">
      <c r="A143" s="11" t="s">
        <v>299</v>
      </c>
      <c r="B143" s="11" t="s">
        <v>300</v>
      </c>
      <c r="C143" s="12">
        <v>25.061548299999998</v>
      </c>
      <c r="D143" s="12">
        <v>121.4599257</v>
      </c>
      <c r="E143" s="11"/>
      <c r="F143" s="11"/>
      <c r="G143" t="str">
        <f t="shared" si="4"/>
        <v>25.0615483|121.4599257</v>
      </c>
      <c r="H143">
        <f t="shared" si="5"/>
        <v>1</v>
      </c>
      <c r="I143">
        <f>IF(AND(H143&gt;1,COUNTIF($G$2:G143,G143)=1),1,0)</f>
        <v>0</v>
      </c>
      <c r="J143">
        <f>SUM($I$2:I143)</f>
        <v>24</v>
      </c>
    </row>
    <row r="144" spans="1:10" x14ac:dyDescent="0.25">
      <c r="A144" s="11" t="s">
        <v>301</v>
      </c>
      <c r="B144" s="11" t="s">
        <v>302</v>
      </c>
      <c r="C144" s="12">
        <v>25.067470799999999</v>
      </c>
      <c r="D144" s="12">
        <v>121.45295110000001</v>
      </c>
      <c r="E144" s="11"/>
      <c r="F144" s="11"/>
      <c r="G144" t="str">
        <f t="shared" si="4"/>
        <v>25.0674708|121.4529511</v>
      </c>
      <c r="H144">
        <f t="shared" si="5"/>
        <v>1</v>
      </c>
      <c r="I144">
        <f>IF(AND(H144&gt;1,COUNTIF($G$2:G144,G144)=1),1,0)</f>
        <v>0</v>
      </c>
      <c r="J144">
        <f>SUM($I$2:I144)</f>
        <v>24</v>
      </c>
    </row>
    <row r="145" spans="1:10" x14ac:dyDescent="0.25">
      <c r="A145" s="11" t="s">
        <v>303</v>
      </c>
      <c r="B145" s="11" t="s">
        <v>304</v>
      </c>
      <c r="C145" s="12">
        <v>25.0749046</v>
      </c>
      <c r="D145" s="12">
        <v>121.4612794</v>
      </c>
      <c r="E145" s="11"/>
      <c r="F145" s="11"/>
      <c r="G145" t="str">
        <f t="shared" si="4"/>
        <v>25.0749046|121.4612794</v>
      </c>
      <c r="H145">
        <f t="shared" si="5"/>
        <v>1</v>
      </c>
      <c r="I145">
        <f>IF(AND(H145&gt;1,COUNTIF($G$2:G145,G145)=1),1,0)</f>
        <v>0</v>
      </c>
      <c r="J145">
        <f>SUM($I$2:I145)</f>
        <v>24</v>
      </c>
    </row>
    <row r="146" spans="1:10" x14ac:dyDescent="0.25">
      <c r="A146" s="11" t="s">
        <v>305</v>
      </c>
      <c r="B146" s="11" t="s">
        <v>306</v>
      </c>
      <c r="C146" s="12">
        <v>25.077359699999999</v>
      </c>
      <c r="D146" s="12">
        <v>121.46961090000001</v>
      </c>
      <c r="E146" s="11"/>
      <c r="F146" s="11"/>
      <c r="G146" t="str">
        <f t="shared" si="4"/>
        <v>25.0773597|121.4696109</v>
      </c>
      <c r="H146">
        <f t="shared" si="5"/>
        <v>1</v>
      </c>
      <c r="I146">
        <f>IF(AND(H146&gt;1,COUNTIF($G$2:G146,G146)=1),1,0)</f>
        <v>0</v>
      </c>
      <c r="J146">
        <f>SUM($I$2:I146)</f>
        <v>24</v>
      </c>
    </row>
    <row r="147" spans="1:10" x14ac:dyDescent="0.25">
      <c r="A147" s="7" t="s">
        <v>307</v>
      </c>
      <c r="B147" s="7" t="s">
        <v>221</v>
      </c>
      <c r="C147" s="8">
        <v>25.080728000000001</v>
      </c>
      <c r="D147" s="8">
        <v>121.47967300000001</v>
      </c>
      <c r="E147" s="7" t="s">
        <v>396</v>
      </c>
      <c r="F147" s="7" t="s">
        <v>397</v>
      </c>
      <c r="G147" t="str">
        <f t="shared" si="4"/>
        <v>25.0807280|121.4796730</v>
      </c>
      <c r="H147">
        <f t="shared" si="5"/>
        <v>2</v>
      </c>
      <c r="I147">
        <f>IF(AND(H147&gt;1,COUNTIF($G$2:G147,G147)=1),1,0)</f>
        <v>0</v>
      </c>
      <c r="J147">
        <f>SUM($I$2:I147)</f>
        <v>24</v>
      </c>
    </row>
    <row r="148" spans="1:10" x14ac:dyDescent="0.25">
      <c r="A148" s="11" t="s">
        <v>308</v>
      </c>
      <c r="B148" s="11" t="s">
        <v>309</v>
      </c>
      <c r="C148" s="12">
        <v>25.0891135</v>
      </c>
      <c r="D148" s="12">
        <v>121.4864967</v>
      </c>
      <c r="E148" s="11"/>
      <c r="F148" s="11"/>
      <c r="G148" t="str">
        <f t="shared" si="4"/>
        <v>25.0891135|121.4864967</v>
      </c>
      <c r="H148">
        <f t="shared" si="5"/>
        <v>1</v>
      </c>
      <c r="I148">
        <f>IF(AND(H148&gt;1,COUNTIF($G$2:G148,G148)=1),1,0)</f>
        <v>0</v>
      </c>
      <c r="J148">
        <f>SUM($I$2:I148)</f>
        <v>24</v>
      </c>
    </row>
    <row r="149" spans="1:10" x14ac:dyDescent="0.25">
      <c r="A149" s="11" t="s">
        <v>310</v>
      </c>
      <c r="B149" s="11" t="s">
        <v>311</v>
      </c>
      <c r="C149" s="12">
        <v>25.088165499999999</v>
      </c>
      <c r="D149" s="12">
        <v>121.4929339</v>
      </c>
      <c r="E149" s="11"/>
      <c r="F149" s="11"/>
      <c r="G149" t="str">
        <f t="shared" si="4"/>
        <v>25.0881655|121.4929339</v>
      </c>
      <c r="H149">
        <f t="shared" si="5"/>
        <v>1</v>
      </c>
      <c r="I149">
        <f>IF(AND(H149&gt;1,COUNTIF($G$2:G149,G149)=1),1,0)</f>
        <v>0</v>
      </c>
      <c r="J149">
        <f>SUM($I$2:I149)</f>
        <v>24</v>
      </c>
    </row>
    <row r="150" spans="1:10" x14ac:dyDescent="0.25">
      <c r="A150" s="11" t="s">
        <v>312</v>
      </c>
      <c r="B150" s="11" t="s">
        <v>313</v>
      </c>
      <c r="C150" s="12">
        <v>25.087539499999998</v>
      </c>
      <c r="D150" s="12">
        <v>121.5107758</v>
      </c>
      <c r="E150" s="11"/>
      <c r="F150" s="11"/>
      <c r="G150" t="str">
        <f t="shared" si="4"/>
        <v>25.0875395|121.5107758</v>
      </c>
      <c r="H150">
        <f t="shared" si="5"/>
        <v>1</v>
      </c>
      <c r="I150">
        <f>IF(AND(H150&gt;1,COUNTIF($G$2:G150,G150)=1),1,0)</f>
        <v>0</v>
      </c>
      <c r="J150">
        <f>SUM($I$2:I150)</f>
        <v>24</v>
      </c>
    </row>
    <row r="151" spans="1:10" x14ac:dyDescent="0.25">
      <c r="A151" s="11" t="s">
        <v>314</v>
      </c>
      <c r="B151" s="11" t="s">
        <v>315</v>
      </c>
      <c r="C151" s="12">
        <v>25.092881899999998</v>
      </c>
      <c r="D151" s="12">
        <v>121.51935690000001</v>
      </c>
      <c r="E151" s="11"/>
      <c r="F151" s="11"/>
      <c r="G151" t="str">
        <f t="shared" si="4"/>
        <v>25.0928819|121.5193569</v>
      </c>
      <c r="H151">
        <f t="shared" si="5"/>
        <v>1</v>
      </c>
      <c r="I151">
        <f>IF(AND(H151&gt;1,COUNTIF($G$2:G151,G151)=1),1,0)</f>
        <v>0</v>
      </c>
      <c r="J151">
        <f>SUM($I$2:I151)</f>
        <v>24</v>
      </c>
    </row>
    <row r="152" spans="1:10" x14ac:dyDescent="0.25">
      <c r="A152" s="7" t="s">
        <v>316</v>
      </c>
      <c r="B152" s="7" t="s">
        <v>121</v>
      </c>
      <c r="C152" s="8">
        <v>25.093534999999999</v>
      </c>
      <c r="D152" s="8">
        <v>121.52623</v>
      </c>
      <c r="E152" s="7" t="s">
        <v>378</v>
      </c>
      <c r="F152" s="7" t="s">
        <v>379</v>
      </c>
      <c r="G152" t="str">
        <f t="shared" si="4"/>
        <v>25.0935350|121.5262300</v>
      </c>
      <c r="H152">
        <f t="shared" si="5"/>
        <v>2</v>
      </c>
      <c r="I152">
        <f>IF(AND(H152&gt;1,COUNTIF($G$2:G152,G152)=1),1,0)</f>
        <v>0</v>
      </c>
      <c r="J152">
        <f>SUM($I$2:I152)</f>
        <v>24</v>
      </c>
    </row>
    <row r="153" spans="1:10" x14ac:dyDescent="0.25">
      <c r="A153" s="11" t="s">
        <v>317</v>
      </c>
      <c r="B153" s="11" t="s">
        <v>318</v>
      </c>
      <c r="C153" s="12">
        <v>25.0963423</v>
      </c>
      <c r="D153" s="12">
        <v>121.5309944</v>
      </c>
      <c r="E153" s="11"/>
      <c r="F153" s="11"/>
      <c r="G153" t="str">
        <f t="shared" si="4"/>
        <v>25.0963423|121.5309944</v>
      </c>
      <c r="H153">
        <f t="shared" si="5"/>
        <v>1</v>
      </c>
      <c r="I153">
        <f>IF(AND(H153&gt;1,COUNTIF($G$2:G153,G153)=1),1,0)</f>
        <v>0</v>
      </c>
      <c r="J153">
        <f>SUM($I$2:I153)</f>
        <v>24</v>
      </c>
    </row>
    <row r="154" spans="1:10" x14ac:dyDescent="0.25">
      <c r="A154" s="11" t="s">
        <v>319</v>
      </c>
      <c r="B154" s="11" t="s">
        <v>320</v>
      </c>
      <c r="C154" s="12">
        <v>25.0984464</v>
      </c>
      <c r="D154" s="12">
        <v>121.54709939999999</v>
      </c>
      <c r="E154" s="11"/>
      <c r="F154" s="11"/>
      <c r="G154" t="str">
        <f t="shared" si="4"/>
        <v>25.0984464|121.5470994</v>
      </c>
      <c r="H154">
        <f t="shared" si="5"/>
        <v>1</v>
      </c>
      <c r="I154">
        <f>IF(AND(H154&gt;1,COUNTIF($G$2:G154,G154)=1),1,0)</f>
        <v>0</v>
      </c>
      <c r="J154">
        <f>SUM($I$2:I154)</f>
        <v>24</v>
      </c>
    </row>
    <row r="155" spans="1:10" x14ac:dyDescent="0.25">
      <c r="A155" s="7" t="s">
        <v>321</v>
      </c>
      <c r="B155" s="7" t="s">
        <v>72</v>
      </c>
      <c r="C155" s="8">
        <v>25.084852999999999</v>
      </c>
      <c r="D155" s="8">
        <v>121.555592</v>
      </c>
      <c r="E155" s="7" t="s">
        <v>362</v>
      </c>
      <c r="F155" s="7" t="s">
        <v>363</v>
      </c>
      <c r="G155" t="str">
        <f t="shared" si="4"/>
        <v>25.0848530|121.5555920</v>
      </c>
      <c r="H155">
        <f t="shared" si="5"/>
        <v>2</v>
      </c>
      <c r="I155">
        <f>IF(AND(H155&gt;1,COUNTIF($G$2:G155,G155)=1),1,0)</f>
        <v>0</v>
      </c>
      <c r="J155">
        <f>SUM($I$2:I155)</f>
        <v>24</v>
      </c>
    </row>
    <row r="156" spans="1:10" x14ac:dyDescent="0.25">
      <c r="A156" s="11" t="s">
        <v>322</v>
      </c>
      <c r="B156" s="11" t="s">
        <v>323</v>
      </c>
      <c r="C156" s="12">
        <v>25.079921500000001</v>
      </c>
      <c r="D156" s="12">
        <v>121.55844519999999</v>
      </c>
      <c r="E156" s="11"/>
      <c r="F156" s="11"/>
      <c r="G156" t="str">
        <f t="shared" si="4"/>
        <v>25.0799215|121.5584452</v>
      </c>
      <c r="H156">
        <f t="shared" si="5"/>
        <v>1</v>
      </c>
      <c r="I156">
        <f>IF(AND(H156&gt;1,COUNTIF($G$2:G156,G156)=1),1,0)</f>
        <v>0</v>
      </c>
      <c r="J156">
        <f>SUM($I$2:I156)</f>
        <v>24</v>
      </c>
    </row>
    <row r="157" spans="1:10" x14ac:dyDescent="0.25">
      <c r="A157" s="11" t="s">
        <v>324</v>
      </c>
      <c r="B157" s="11" t="s">
        <v>325</v>
      </c>
      <c r="C157" s="12">
        <v>25.079287900000001</v>
      </c>
      <c r="D157" s="12">
        <v>121.5685017</v>
      </c>
      <c r="E157" s="11"/>
      <c r="F157" s="11"/>
      <c r="G157" t="str">
        <f t="shared" si="4"/>
        <v>25.0792879|121.5685017</v>
      </c>
      <c r="H157">
        <f t="shared" si="5"/>
        <v>1</v>
      </c>
      <c r="I157">
        <f>IF(AND(H157&gt;1,COUNTIF($G$2:G157,G157)=1),1,0)</f>
        <v>0</v>
      </c>
      <c r="J157">
        <f>SUM($I$2:I157)</f>
        <v>24</v>
      </c>
    </row>
    <row r="158" spans="1:10" x14ac:dyDescent="0.25">
      <c r="A158" s="11" t="s">
        <v>326</v>
      </c>
      <c r="B158" s="11" t="s">
        <v>327</v>
      </c>
      <c r="C158" s="12">
        <v>25.077101500000001</v>
      </c>
      <c r="D158" s="12">
        <v>121.57334040000001</v>
      </c>
      <c r="E158" s="11"/>
      <c r="F158" s="11"/>
      <c r="G158" t="str">
        <f t="shared" si="4"/>
        <v>25.0771015|121.5733404</v>
      </c>
      <c r="H158">
        <f t="shared" si="5"/>
        <v>1</v>
      </c>
      <c r="I158">
        <f>IF(AND(H158&gt;1,COUNTIF($G$2:G158,G158)=1),1,0)</f>
        <v>0</v>
      </c>
      <c r="J158">
        <f>SUM($I$2:I158)</f>
        <v>24</v>
      </c>
    </row>
    <row r="159" spans="1:10" x14ac:dyDescent="0.25">
      <c r="A159" s="11" t="s">
        <v>328</v>
      </c>
      <c r="B159" s="11" t="s">
        <v>329</v>
      </c>
      <c r="C159" s="12">
        <v>25.072310699999999</v>
      </c>
      <c r="D159" s="12">
        <v>121.5789259</v>
      </c>
      <c r="E159" s="11"/>
      <c r="F159" s="11"/>
      <c r="G159" t="str">
        <f t="shared" si="4"/>
        <v>25.0723107|121.5789259</v>
      </c>
      <c r="H159">
        <f t="shared" si="5"/>
        <v>1</v>
      </c>
      <c r="I159">
        <f>IF(AND(H159&gt;1,COUNTIF($G$2:G159,G159)=1),1,0)</f>
        <v>0</v>
      </c>
      <c r="J159">
        <f>SUM($I$2:I159)</f>
        <v>24</v>
      </c>
    </row>
    <row r="160" spans="1:10" x14ac:dyDescent="0.25">
      <c r="A160" s="11" t="s">
        <v>330</v>
      </c>
      <c r="B160" s="11" t="s">
        <v>331</v>
      </c>
      <c r="C160" s="12">
        <v>25.066910199999999</v>
      </c>
      <c r="D160" s="12">
        <v>121.5749422</v>
      </c>
      <c r="E160" s="11"/>
      <c r="F160" s="11"/>
      <c r="G160" t="str">
        <f t="shared" si="4"/>
        <v>25.0669102|121.5749422</v>
      </c>
      <c r="H160">
        <f t="shared" si="5"/>
        <v>1</v>
      </c>
      <c r="I160">
        <f>IF(AND(H160&gt;1,COUNTIF($G$2:G160,G160)=1),1,0)</f>
        <v>0</v>
      </c>
      <c r="J160">
        <f>SUM($I$2:I160)</f>
        <v>24</v>
      </c>
    </row>
    <row r="161" spans="1:10" x14ac:dyDescent="0.25">
      <c r="A161" s="11" t="s">
        <v>332</v>
      </c>
      <c r="B161" s="11" t="s">
        <v>333</v>
      </c>
      <c r="C161" s="12">
        <v>25.060828799999999</v>
      </c>
      <c r="D161" s="12">
        <v>121.5802089</v>
      </c>
      <c r="E161" s="11"/>
      <c r="F161" s="11"/>
      <c r="G161" t="str">
        <f t="shared" si="4"/>
        <v>25.0608288|121.5802089</v>
      </c>
      <c r="H161">
        <f t="shared" si="5"/>
        <v>1</v>
      </c>
      <c r="I161">
        <f>IF(AND(H161&gt;1,COUNTIF($G$2:G161,G161)=1),1,0)</f>
        <v>0</v>
      </c>
      <c r="J161">
        <f>SUM($I$2:I161)</f>
        <v>24</v>
      </c>
    </row>
    <row r="162" spans="1:10" x14ac:dyDescent="0.25">
      <c r="A162" s="7" t="s">
        <v>334</v>
      </c>
      <c r="B162" s="7" t="s">
        <v>177</v>
      </c>
      <c r="C162" s="8">
        <v>25.050118000000001</v>
      </c>
      <c r="D162" s="8">
        <v>121.57770600000001</v>
      </c>
      <c r="E162" s="7" t="s">
        <v>388</v>
      </c>
      <c r="F162" s="7" t="s">
        <v>389</v>
      </c>
      <c r="G162" t="str">
        <f t="shared" si="4"/>
        <v>25.0501180|121.5777060</v>
      </c>
      <c r="H162">
        <f t="shared" si="5"/>
        <v>2</v>
      </c>
      <c r="I162">
        <f>IF(AND(H162&gt;1,COUNTIF($G$2:G162,G162)=1),1,0)</f>
        <v>0</v>
      </c>
      <c r="J162">
        <f>SUM($I$2:I162)</f>
        <v>24</v>
      </c>
    </row>
    <row r="163" spans="1:10" x14ac:dyDescent="0.25">
      <c r="A163" s="7" t="s">
        <v>335</v>
      </c>
      <c r="B163" s="7" t="s">
        <v>258</v>
      </c>
      <c r="C163" s="8">
        <v>25.040859000000001</v>
      </c>
      <c r="D163" s="8">
        <v>121.57629300000001</v>
      </c>
      <c r="E163" s="7" t="s">
        <v>400</v>
      </c>
      <c r="F163" s="7" t="s">
        <v>401</v>
      </c>
      <c r="G163" t="str">
        <f t="shared" si="4"/>
        <v>25.0408590|121.5762930</v>
      </c>
      <c r="H163">
        <f t="shared" si="5"/>
        <v>2</v>
      </c>
      <c r="I163">
        <f>IF(AND(H163&gt;1,COUNTIF($G$2:G163,G163)=1),1,0)</f>
        <v>0</v>
      </c>
      <c r="J163">
        <f>SUM($I$2:I163)</f>
        <v>24</v>
      </c>
    </row>
    <row r="164" spans="1:10" x14ac:dyDescent="0.25">
      <c r="A164" s="7" t="s">
        <v>336</v>
      </c>
      <c r="B164" s="7" t="s">
        <v>94</v>
      </c>
      <c r="C164" s="8">
        <v>25.032830000000001</v>
      </c>
      <c r="D164" s="8">
        <v>121.569576</v>
      </c>
      <c r="E164" s="7" t="s">
        <v>366</v>
      </c>
      <c r="F164" s="7" t="s">
        <v>367</v>
      </c>
      <c r="G164" t="str">
        <f t="shared" si="4"/>
        <v>25.0328300|121.5695760</v>
      </c>
      <c r="H164">
        <f t="shared" si="5"/>
        <v>2</v>
      </c>
      <c r="I164">
        <f>IF(AND(H164&gt;1,COUNTIF($G$2:G164,G164)=1),1,0)</f>
        <v>0</v>
      </c>
      <c r="J164">
        <f>SUM($I$2:I164)</f>
        <v>24</v>
      </c>
    </row>
    <row r="165" spans="1:10" x14ac:dyDescent="0.25">
      <c r="A165" s="11" t="s">
        <v>337</v>
      </c>
      <c r="B165" s="11" t="s">
        <v>338</v>
      </c>
      <c r="C165" s="12">
        <v>25.023415</v>
      </c>
      <c r="D165" s="12">
        <v>121.5701474</v>
      </c>
      <c r="E165" s="11"/>
      <c r="F165" s="11"/>
      <c r="G165" t="str">
        <f t="shared" si="4"/>
        <v>25.0234150|121.5701474</v>
      </c>
      <c r="H165">
        <f t="shared" si="5"/>
        <v>1</v>
      </c>
      <c r="I165">
        <f>IF(AND(H165&gt;1,COUNTIF($G$2:G165,G165)=1),1,0)</f>
        <v>0</v>
      </c>
      <c r="J165">
        <f>SUM($I$2:I165)</f>
        <v>24</v>
      </c>
    </row>
    <row r="166" spans="1:10" x14ac:dyDescent="0.25">
      <c r="E166" s="4"/>
      <c r="F166" s="4"/>
      <c r="G166" t="str">
        <f t="shared" si="4"/>
        <v/>
      </c>
      <c r="H166" t="str">
        <f t="shared" si="5"/>
        <v/>
      </c>
      <c r="I166">
        <f>IF(AND(H166&gt;1,COUNTIF($G$2:G166,G166)=1),1,0)</f>
        <v>1</v>
      </c>
      <c r="J166">
        <f>SUM($I$2:I166)</f>
        <v>25</v>
      </c>
    </row>
    <row r="167" spans="1:10" x14ac:dyDescent="0.25">
      <c r="E167" s="4"/>
      <c r="F167" s="4"/>
      <c r="G167" t="str">
        <f t="shared" si="4"/>
        <v/>
      </c>
      <c r="H167" t="str">
        <f t="shared" si="5"/>
        <v/>
      </c>
      <c r="I167">
        <f>IF(AND(H167&gt;1,COUNTIF($G$2:G167,G167)=1),1,0)</f>
        <v>0</v>
      </c>
      <c r="J167">
        <f>SUM($I$2:I167)</f>
        <v>25</v>
      </c>
    </row>
    <row r="168" spans="1:10" x14ac:dyDescent="0.25">
      <c r="E168" s="4"/>
      <c r="F168" s="4"/>
      <c r="G168" t="str">
        <f t="shared" si="4"/>
        <v/>
      </c>
      <c r="H168" t="str">
        <f t="shared" si="5"/>
        <v/>
      </c>
      <c r="I168">
        <f>IF(AND(H168&gt;1,COUNTIF($G$2:G168,G168)=1),1,0)</f>
        <v>0</v>
      </c>
      <c r="J168">
        <f>SUM($I$2:I168)</f>
        <v>25</v>
      </c>
    </row>
    <row r="169" spans="1:10" x14ac:dyDescent="0.25">
      <c r="E169" s="4"/>
      <c r="F169" s="4"/>
      <c r="G169" t="str">
        <f t="shared" si="4"/>
        <v/>
      </c>
      <c r="H169" t="str">
        <f t="shared" si="5"/>
        <v/>
      </c>
      <c r="I169">
        <f>IF(AND(H169&gt;1,COUNTIF($G$2:G169,G169)=1),1,0)</f>
        <v>0</v>
      </c>
      <c r="J169">
        <f>SUM($I$2:I169)</f>
        <v>25</v>
      </c>
    </row>
    <row r="170" spans="1:10" x14ac:dyDescent="0.25">
      <c r="E170" s="4"/>
      <c r="F170" s="4"/>
      <c r="G170" t="str">
        <f t="shared" si="4"/>
        <v/>
      </c>
      <c r="H170" t="str">
        <f t="shared" si="5"/>
        <v/>
      </c>
      <c r="I170">
        <f>IF(AND(H170&gt;1,COUNTIF($G$2:G170,G170)=1),1,0)</f>
        <v>0</v>
      </c>
      <c r="J170">
        <f>SUM($I$2:I170)</f>
        <v>25</v>
      </c>
    </row>
    <row r="171" spans="1:10" x14ac:dyDescent="0.25">
      <c r="E171" s="4"/>
      <c r="F171" s="4"/>
      <c r="G171" t="str">
        <f t="shared" si="4"/>
        <v/>
      </c>
      <c r="H171" t="str">
        <f t="shared" si="5"/>
        <v/>
      </c>
      <c r="I171">
        <f>IF(AND(H171&gt;1,COUNTIF($G$2:G171,G171)=1),1,0)</f>
        <v>0</v>
      </c>
      <c r="J171">
        <f>SUM($I$2:I171)</f>
        <v>25</v>
      </c>
    </row>
    <row r="172" spans="1:10" x14ac:dyDescent="0.25">
      <c r="E172" s="4"/>
      <c r="F172" s="4"/>
      <c r="G172" t="str">
        <f t="shared" si="4"/>
        <v/>
      </c>
      <c r="H172" t="str">
        <f t="shared" si="5"/>
        <v/>
      </c>
      <c r="I172">
        <f>IF(AND(H172&gt;1,COUNTIF($G$2:G172,G172)=1),1,0)</f>
        <v>0</v>
      </c>
      <c r="J172">
        <f>SUM($I$2:I172)</f>
        <v>25</v>
      </c>
    </row>
    <row r="173" spans="1:10" x14ac:dyDescent="0.25">
      <c r="E173" s="4"/>
      <c r="F173" s="4"/>
      <c r="G173" t="str">
        <f t="shared" si="4"/>
        <v/>
      </c>
      <c r="H173" t="str">
        <f t="shared" si="5"/>
        <v/>
      </c>
      <c r="I173">
        <f>IF(AND(H173&gt;1,COUNTIF($G$2:G173,G173)=1),1,0)</f>
        <v>0</v>
      </c>
      <c r="J173">
        <f>SUM($I$2:I173)</f>
        <v>25</v>
      </c>
    </row>
    <row r="174" spans="1:10" x14ac:dyDescent="0.25">
      <c r="E174" s="4"/>
      <c r="F174" s="4"/>
      <c r="G174" t="str">
        <f t="shared" si="4"/>
        <v/>
      </c>
      <c r="H174" t="str">
        <f t="shared" si="5"/>
        <v/>
      </c>
      <c r="I174">
        <f>IF(AND(H174&gt;1,COUNTIF($G$2:G174,G174)=1),1,0)</f>
        <v>0</v>
      </c>
      <c r="J174">
        <f>SUM($I$2:I174)</f>
        <v>25</v>
      </c>
    </row>
    <row r="175" spans="1:10" x14ac:dyDescent="0.25">
      <c r="E175" s="4"/>
      <c r="F175" s="4"/>
      <c r="G175" t="str">
        <f t="shared" si="4"/>
        <v/>
      </c>
      <c r="H175" t="str">
        <f t="shared" si="5"/>
        <v/>
      </c>
      <c r="I175">
        <f>IF(AND(H175&gt;1,COUNTIF($G$2:G175,G175)=1),1,0)</f>
        <v>0</v>
      </c>
      <c r="J175">
        <f>SUM($I$2:I175)</f>
        <v>25</v>
      </c>
    </row>
    <row r="176" spans="1:10" x14ac:dyDescent="0.25">
      <c r="E176" s="4"/>
      <c r="F176" s="4"/>
      <c r="G176" t="str">
        <f t="shared" si="4"/>
        <v/>
      </c>
      <c r="H176" t="str">
        <f t="shared" si="5"/>
        <v/>
      </c>
      <c r="I176">
        <f>IF(AND(H176&gt;1,COUNTIF($G$2:G176,G176)=1),1,0)</f>
        <v>0</v>
      </c>
      <c r="J176">
        <f>SUM($I$2:I176)</f>
        <v>25</v>
      </c>
    </row>
    <row r="177" spans="5:10" x14ac:dyDescent="0.25">
      <c r="E177" s="4"/>
      <c r="F177" s="4"/>
      <c r="G177" t="str">
        <f t="shared" si="4"/>
        <v/>
      </c>
      <c r="H177" t="str">
        <f t="shared" si="5"/>
        <v/>
      </c>
      <c r="I177">
        <f>IF(AND(H177&gt;1,COUNTIF($G$2:G177,G177)=1),1,0)</f>
        <v>0</v>
      </c>
      <c r="J177">
        <f>SUM($I$2:I177)</f>
        <v>25</v>
      </c>
    </row>
    <row r="178" spans="5:10" x14ac:dyDescent="0.25">
      <c r="E178" s="4"/>
      <c r="F178" s="4"/>
      <c r="G178" t="str">
        <f t="shared" si="4"/>
        <v/>
      </c>
      <c r="H178" t="str">
        <f t="shared" si="5"/>
        <v/>
      </c>
      <c r="I178">
        <f>IF(AND(H178&gt;1,COUNTIF($G$2:G178,G178)=1),1,0)</f>
        <v>0</v>
      </c>
      <c r="J178">
        <f>SUM($I$2:I178)</f>
        <v>25</v>
      </c>
    </row>
    <row r="179" spans="5:10" x14ac:dyDescent="0.25">
      <c r="E179" s="4"/>
      <c r="F179" s="4"/>
      <c r="G179" t="str">
        <f t="shared" si="4"/>
        <v/>
      </c>
      <c r="H179" t="str">
        <f t="shared" si="5"/>
        <v/>
      </c>
      <c r="I179">
        <f>IF(AND(H179&gt;1,COUNTIF($G$2:G179,G179)=1),1,0)</f>
        <v>0</v>
      </c>
      <c r="J179">
        <f>SUM($I$2:I179)</f>
        <v>25</v>
      </c>
    </row>
    <row r="180" spans="5:10" x14ac:dyDescent="0.25">
      <c r="E180" s="4"/>
      <c r="F180" s="4"/>
      <c r="G180" t="str">
        <f t="shared" si="4"/>
        <v/>
      </c>
      <c r="H180" t="str">
        <f t="shared" si="5"/>
        <v/>
      </c>
      <c r="I180">
        <f>IF(AND(H180&gt;1,COUNTIF($G$2:G180,G180)=1),1,0)</f>
        <v>0</v>
      </c>
      <c r="J180">
        <f>SUM($I$2:I180)</f>
        <v>25</v>
      </c>
    </row>
    <row r="181" spans="5:10" x14ac:dyDescent="0.25">
      <c r="E181" s="4"/>
      <c r="F181" s="4"/>
      <c r="G181" t="str">
        <f t="shared" si="4"/>
        <v/>
      </c>
      <c r="H181" t="str">
        <f t="shared" si="5"/>
        <v/>
      </c>
      <c r="I181">
        <f>IF(AND(H181&gt;1,COUNTIF($G$2:G181,G181)=1),1,0)</f>
        <v>0</v>
      </c>
      <c r="J181">
        <f>SUM($I$2:I181)</f>
        <v>25</v>
      </c>
    </row>
    <row r="182" spans="5:10" x14ac:dyDescent="0.25">
      <c r="E182" s="4"/>
      <c r="F182" s="4"/>
      <c r="G182" t="str">
        <f t="shared" si="4"/>
        <v/>
      </c>
      <c r="H182" t="str">
        <f t="shared" si="5"/>
        <v/>
      </c>
      <c r="I182">
        <f>IF(AND(H182&gt;1,COUNTIF($G$2:G182,G182)=1),1,0)</f>
        <v>0</v>
      </c>
      <c r="J182">
        <f>SUM($I$2:I182)</f>
        <v>25</v>
      </c>
    </row>
    <row r="183" spans="5:10" x14ac:dyDescent="0.25">
      <c r="E183" s="4"/>
      <c r="F183" s="4"/>
      <c r="G183" t="str">
        <f t="shared" si="4"/>
        <v/>
      </c>
      <c r="H183" t="str">
        <f t="shared" si="5"/>
        <v/>
      </c>
      <c r="I183">
        <f>IF(AND(H183&gt;1,COUNTIF($G$2:G183,G183)=1),1,0)</f>
        <v>0</v>
      </c>
      <c r="J183">
        <f>SUM($I$2:I183)</f>
        <v>25</v>
      </c>
    </row>
    <row r="184" spans="5:10" x14ac:dyDescent="0.25">
      <c r="E184" s="4"/>
      <c r="F184" s="4"/>
      <c r="G184" t="str">
        <f t="shared" si="4"/>
        <v/>
      </c>
      <c r="H184" t="str">
        <f t="shared" si="5"/>
        <v/>
      </c>
      <c r="I184">
        <f>IF(AND(H184&gt;1,COUNTIF($G$2:G184,G184)=1),1,0)</f>
        <v>0</v>
      </c>
      <c r="J184">
        <f>SUM($I$2:I184)</f>
        <v>25</v>
      </c>
    </row>
    <row r="185" spans="5:10" x14ac:dyDescent="0.25">
      <c r="E185" s="4"/>
      <c r="F185" s="4"/>
      <c r="G185" t="str">
        <f t="shared" si="4"/>
        <v/>
      </c>
      <c r="H185" t="str">
        <f t="shared" si="5"/>
        <v/>
      </c>
      <c r="I185">
        <f>IF(AND(H185&gt;1,COUNTIF($G$2:G185,G185)=1),1,0)</f>
        <v>0</v>
      </c>
      <c r="J185">
        <f>SUM($I$2:I185)</f>
        <v>25</v>
      </c>
    </row>
    <row r="186" spans="5:10" x14ac:dyDescent="0.25">
      <c r="E186" s="4"/>
      <c r="F186" s="4"/>
      <c r="G186" t="str">
        <f t="shared" si="4"/>
        <v/>
      </c>
      <c r="H186" t="str">
        <f t="shared" si="5"/>
        <v/>
      </c>
      <c r="I186">
        <f>IF(AND(H186&gt;1,COUNTIF($G$2:G186,G186)=1),1,0)</f>
        <v>0</v>
      </c>
      <c r="J186">
        <f>SUM($I$2:I186)</f>
        <v>25</v>
      </c>
    </row>
    <row r="187" spans="5:10" x14ac:dyDescent="0.25">
      <c r="E187" s="4"/>
      <c r="F187" s="4"/>
      <c r="G187" t="str">
        <f t="shared" si="4"/>
        <v/>
      </c>
      <c r="H187" t="str">
        <f t="shared" si="5"/>
        <v/>
      </c>
      <c r="I187">
        <f>IF(AND(H187&gt;1,COUNTIF($G$2:G187,G187)=1),1,0)</f>
        <v>0</v>
      </c>
      <c r="J187">
        <f>SUM($I$2:I187)</f>
        <v>25</v>
      </c>
    </row>
    <row r="188" spans="5:10" x14ac:dyDescent="0.25">
      <c r="E188" s="4"/>
      <c r="F188" s="4"/>
      <c r="G188" t="str">
        <f t="shared" si="4"/>
        <v/>
      </c>
      <c r="H188" t="str">
        <f t="shared" si="5"/>
        <v/>
      </c>
      <c r="I188">
        <f>IF(AND(H188&gt;1,COUNTIF($G$2:G188,G188)=1),1,0)</f>
        <v>0</v>
      </c>
      <c r="J188">
        <f>SUM($I$2:I188)</f>
        <v>25</v>
      </c>
    </row>
    <row r="189" spans="5:10" x14ac:dyDescent="0.25">
      <c r="E189" s="4"/>
      <c r="F189" s="4"/>
      <c r="G189" t="str">
        <f t="shared" si="4"/>
        <v/>
      </c>
      <c r="H189" t="str">
        <f t="shared" si="5"/>
        <v/>
      </c>
      <c r="I189">
        <f>IF(AND(H189&gt;1,COUNTIF($G$2:G189,G189)=1),1,0)</f>
        <v>0</v>
      </c>
      <c r="J189">
        <f>SUM($I$2:I189)</f>
        <v>25</v>
      </c>
    </row>
    <row r="190" spans="5:10" x14ac:dyDescent="0.25">
      <c r="E190" s="4"/>
      <c r="F190" s="4"/>
      <c r="G190" t="str">
        <f t="shared" si="4"/>
        <v/>
      </c>
      <c r="H190" t="str">
        <f t="shared" si="5"/>
        <v/>
      </c>
      <c r="I190">
        <f>IF(AND(H190&gt;1,COUNTIF($G$2:G190,G190)=1),1,0)</f>
        <v>0</v>
      </c>
      <c r="J190">
        <f>SUM($I$2:I190)</f>
        <v>25</v>
      </c>
    </row>
    <row r="191" spans="5:10" x14ac:dyDescent="0.25">
      <c r="E191" s="4"/>
      <c r="F191" s="4"/>
      <c r="G191" t="str">
        <f t="shared" si="4"/>
        <v/>
      </c>
      <c r="H191" t="str">
        <f t="shared" si="5"/>
        <v/>
      </c>
      <c r="I191">
        <f>IF(AND(H191&gt;1,COUNTIF($G$2:G191,G191)=1),1,0)</f>
        <v>0</v>
      </c>
      <c r="J191">
        <f>SUM($I$2:I191)</f>
        <v>25</v>
      </c>
    </row>
    <row r="192" spans="5:10" x14ac:dyDescent="0.25">
      <c r="E192" s="4"/>
      <c r="F192" s="4"/>
      <c r="G192" t="str">
        <f t="shared" si="4"/>
        <v/>
      </c>
      <c r="H192" t="str">
        <f t="shared" si="5"/>
        <v/>
      </c>
      <c r="I192">
        <f>IF(AND(H192&gt;1,COUNTIF($G$2:G192,G192)=1),1,0)</f>
        <v>0</v>
      </c>
      <c r="J192">
        <f>SUM($I$2:I192)</f>
        <v>25</v>
      </c>
    </row>
    <row r="193" spans="5:10" x14ac:dyDescent="0.25">
      <c r="E193" s="4"/>
      <c r="F193" s="4"/>
      <c r="G193" t="str">
        <f t="shared" si="4"/>
        <v/>
      </c>
      <c r="H193" t="str">
        <f t="shared" si="5"/>
        <v/>
      </c>
      <c r="I193">
        <f>IF(AND(H193&gt;1,COUNTIF($G$2:G193,G193)=1),1,0)</f>
        <v>0</v>
      </c>
      <c r="J193">
        <f>SUM($I$2:I193)</f>
        <v>25</v>
      </c>
    </row>
    <row r="194" spans="5:10" x14ac:dyDescent="0.25">
      <c r="E194" s="4"/>
      <c r="F194" s="4"/>
      <c r="G194" t="str">
        <f t="shared" ref="G194:G257" si="6">IF(OR(C194="",D194=""),"",TEXT(C194,"0.0000000")&amp;"|"&amp;TEXT(D194,"0.0000000"))</f>
        <v/>
      </c>
      <c r="H194" t="str">
        <f t="shared" ref="H194:H257" si="7">IF(G194="","",COUNTIF($G$2:$G$500,G194))</f>
        <v/>
      </c>
      <c r="I194">
        <f>IF(AND(H194&gt;1,COUNTIF($G$2:G194,G194)=1),1,0)</f>
        <v>0</v>
      </c>
      <c r="J194">
        <f>SUM($I$2:I194)</f>
        <v>25</v>
      </c>
    </row>
    <row r="195" spans="5:10" x14ac:dyDescent="0.25">
      <c r="E195" s="4"/>
      <c r="F195" s="4"/>
      <c r="G195" t="str">
        <f t="shared" si="6"/>
        <v/>
      </c>
      <c r="H195" t="str">
        <f t="shared" si="7"/>
        <v/>
      </c>
      <c r="I195">
        <f>IF(AND(H195&gt;1,COUNTIF($G$2:G195,G195)=1),1,0)</f>
        <v>0</v>
      </c>
      <c r="J195">
        <f>SUM($I$2:I195)</f>
        <v>25</v>
      </c>
    </row>
    <row r="196" spans="5:10" x14ac:dyDescent="0.25">
      <c r="E196" s="4"/>
      <c r="F196" s="4"/>
      <c r="G196" t="str">
        <f t="shared" si="6"/>
        <v/>
      </c>
      <c r="H196" t="str">
        <f t="shared" si="7"/>
        <v/>
      </c>
      <c r="I196">
        <f>IF(AND(H196&gt;1,COUNTIF($G$2:G196,G196)=1),1,0)</f>
        <v>0</v>
      </c>
      <c r="J196">
        <f>SUM($I$2:I196)</f>
        <v>25</v>
      </c>
    </row>
    <row r="197" spans="5:10" x14ac:dyDescent="0.25">
      <c r="E197" s="4"/>
      <c r="F197" s="4"/>
      <c r="G197" t="str">
        <f t="shared" si="6"/>
        <v/>
      </c>
      <c r="H197" t="str">
        <f t="shared" si="7"/>
        <v/>
      </c>
      <c r="I197">
        <f>IF(AND(H197&gt;1,COUNTIF($G$2:G197,G197)=1),1,0)</f>
        <v>0</v>
      </c>
      <c r="J197">
        <f>SUM($I$2:I197)</f>
        <v>25</v>
      </c>
    </row>
    <row r="198" spans="5:10" x14ac:dyDescent="0.25">
      <c r="E198" s="4"/>
      <c r="F198" s="4"/>
      <c r="G198" t="str">
        <f t="shared" si="6"/>
        <v/>
      </c>
      <c r="H198" t="str">
        <f t="shared" si="7"/>
        <v/>
      </c>
      <c r="I198">
        <f>IF(AND(H198&gt;1,COUNTIF($G$2:G198,G198)=1),1,0)</f>
        <v>0</v>
      </c>
      <c r="J198">
        <f>SUM($I$2:I198)</f>
        <v>25</v>
      </c>
    </row>
    <row r="199" spans="5:10" x14ac:dyDescent="0.25">
      <c r="E199" s="4"/>
      <c r="F199" s="4"/>
      <c r="G199" t="str">
        <f t="shared" si="6"/>
        <v/>
      </c>
      <c r="H199" t="str">
        <f t="shared" si="7"/>
        <v/>
      </c>
      <c r="I199">
        <f>IF(AND(H199&gt;1,COUNTIF($G$2:G199,G199)=1),1,0)</f>
        <v>0</v>
      </c>
      <c r="J199">
        <f>SUM($I$2:I199)</f>
        <v>25</v>
      </c>
    </row>
    <row r="200" spans="5:10" x14ac:dyDescent="0.25">
      <c r="E200" s="4"/>
      <c r="F200" s="4"/>
      <c r="G200" t="str">
        <f t="shared" si="6"/>
        <v/>
      </c>
      <c r="H200" t="str">
        <f t="shared" si="7"/>
        <v/>
      </c>
      <c r="I200">
        <f>IF(AND(H200&gt;1,COUNTIF($G$2:G200,G200)=1),1,0)</f>
        <v>0</v>
      </c>
      <c r="J200">
        <f>SUM($I$2:I200)</f>
        <v>25</v>
      </c>
    </row>
    <row r="201" spans="5:10" x14ac:dyDescent="0.25">
      <c r="E201" s="4"/>
      <c r="F201" s="4"/>
      <c r="G201" t="str">
        <f t="shared" si="6"/>
        <v/>
      </c>
      <c r="H201" t="str">
        <f t="shared" si="7"/>
        <v/>
      </c>
      <c r="I201">
        <f>IF(AND(H201&gt;1,COUNTIF($G$2:G201,G201)=1),1,0)</f>
        <v>0</v>
      </c>
      <c r="J201">
        <f>SUM($I$2:I201)</f>
        <v>25</v>
      </c>
    </row>
    <row r="202" spans="5:10" x14ac:dyDescent="0.25">
      <c r="E202" s="4"/>
      <c r="F202" s="4"/>
      <c r="G202" t="str">
        <f t="shared" si="6"/>
        <v/>
      </c>
      <c r="H202" t="str">
        <f t="shared" si="7"/>
        <v/>
      </c>
      <c r="I202">
        <f>IF(AND(H202&gt;1,COUNTIF($G$2:G202,G202)=1),1,0)</f>
        <v>0</v>
      </c>
      <c r="J202">
        <f>SUM($I$2:I202)</f>
        <v>25</v>
      </c>
    </row>
    <row r="203" spans="5:10" x14ac:dyDescent="0.25">
      <c r="E203" s="4"/>
      <c r="F203" s="4"/>
      <c r="G203" t="str">
        <f t="shared" si="6"/>
        <v/>
      </c>
      <c r="H203" t="str">
        <f t="shared" si="7"/>
        <v/>
      </c>
      <c r="I203">
        <f>IF(AND(H203&gt;1,COUNTIF($G$2:G203,G203)=1),1,0)</f>
        <v>0</v>
      </c>
      <c r="J203">
        <f>SUM($I$2:I203)</f>
        <v>25</v>
      </c>
    </row>
    <row r="204" spans="5:10" x14ac:dyDescent="0.25">
      <c r="E204" s="4"/>
      <c r="F204" s="4"/>
      <c r="G204" t="str">
        <f t="shared" si="6"/>
        <v/>
      </c>
      <c r="H204" t="str">
        <f t="shared" si="7"/>
        <v/>
      </c>
      <c r="I204">
        <f>IF(AND(H204&gt;1,COUNTIF($G$2:G204,G204)=1),1,0)</f>
        <v>0</v>
      </c>
      <c r="J204">
        <f>SUM($I$2:I204)</f>
        <v>25</v>
      </c>
    </row>
    <row r="205" spans="5:10" x14ac:dyDescent="0.25">
      <c r="E205" s="4"/>
      <c r="F205" s="4"/>
      <c r="G205" t="str">
        <f t="shared" si="6"/>
        <v/>
      </c>
      <c r="H205" t="str">
        <f t="shared" si="7"/>
        <v/>
      </c>
      <c r="I205">
        <f>IF(AND(H205&gt;1,COUNTIF($G$2:G205,G205)=1),1,0)</f>
        <v>0</v>
      </c>
      <c r="J205">
        <f>SUM($I$2:I205)</f>
        <v>25</v>
      </c>
    </row>
    <row r="206" spans="5:10" x14ac:dyDescent="0.25">
      <c r="E206" s="4"/>
      <c r="F206" s="4"/>
      <c r="G206" t="str">
        <f t="shared" si="6"/>
        <v/>
      </c>
      <c r="H206" t="str">
        <f t="shared" si="7"/>
        <v/>
      </c>
      <c r="I206">
        <f>IF(AND(H206&gt;1,COUNTIF($G$2:G206,G206)=1),1,0)</f>
        <v>0</v>
      </c>
      <c r="J206">
        <f>SUM($I$2:I206)</f>
        <v>25</v>
      </c>
    </row>
    <row r="207" spans="5:10" x14ac:dyDescent="0.25">
      <c r="E207" s="4"/>
      <c r="F207" s="4"/>
      <c r="G207" t="str">
        <f t="shared" si="6"/>
        <v/>
      </c>
      <c r="H207" t="str">
        <f t="shared" si="7"/>
        <v/>
      </c>
      <c r="I207">
        <f>IF(AND(H207&gt;1,COUNTIF($G$2:G207,G207)=1),1,0)</f>
        <v>0</v>
      </c>
      <c r="J207">
        <f>SUM($I$2:I207)</f>
        <v>25</v>
      </c>
    </row>
    <row r="208" spans="5:10" x14ac:dyDescent="0.25">
      <c r="E208" s="4"/>
      <c r="F208" s="4"/>
      <c r="G208" t="str">
        <f t="shared" si="6"/>
        <v/>
      </c>
      <c r="H208" t="str">
        <f t="shared" si="7"/>
        <v/>
      </c>
      <c r="I208">
        <f>IF(AND(H208&gt;1,COUNTIF($G$2:G208,G208)=1),1,0)</f>
        <v>0</v>
      </c>
      <c r="J208">
        <f>SUM($I$2:I208)</f>
        <v>25</v>
      </c>
    </row>
    <row r="209" spans="5:10" x14ac:dyDescent="0.25">
      <c r="E209" s="4"/>
      <c r="F209" s="4"/>
      <c r="G209" t="str">
        <f t="shared" si="6"/>
        <v/>
      </c>
      <c r="H209" t="str">
        <f t="shared" si="7"/>
        <v/>
      </c>
      <c r="I209">
        <f>IF(AND(H209&gt;1,COUNTIF($G$2:G209,G209)=1),1,0)</f>
        <v>0</v>
      </c>
      <c r="J209">
        <f>SUM($I$2:I209)</f>
        <v>25</v>
      </c>
    </row>
    <row r="210" spans="5:10" x14ac:dyDescent="0.25">
      <c r="E210" s="4"/>
      <c r="F210" s="4"/>
      <c r="G210" t="str">
        <f t="shared" si="6"/>
        <v/>
      </c>
      <c r="H210" t="str">
        <f t="shared" si="7"/>
        <v/>
      </c>
      <c r="I210">
        <f>IF(AND(H210&gt;1,COUNTIF($G$2:G210,G210)=1),1,0)</f>
        <v>0</v>
      </c>
      <c r="J210">
        <f>SUM($I$2:I210)</f>
        <v>25</v>
      </c>
    </row>
    <row r="211" spans="5:10" x14ac:dyDescent="0.25">
      <c r="E211" s="4"/>
      <c r="F211" s="4"/>
      <c r="G211" t="str">
        <f t="shared" si="6"/>
        <v/>
      </c>
      <c r="H211" t="str">
        <f t="shared" si="7"/>
        <v/>
      </c>
      <c r="I211">
        <f>IF(AND(H211&gt;1,COUNTIF($G$2:G211,G211)=1),1,0)</f>
        <v>0</v>
      </c>
      <c r="J211">
        <f>SUM($I$2:I211)</f>
        <v>25</v>
      </c>
    </row>
    <row r="212" spans="5:10" x14ac:dyDescent="0.25">
      <c r="E212" s="4"/>
      <c r="F212" s="4"/>
      <c r="G212" t="str">
        <f t="shared" si="6"/>
        <v/>
      </c>
      <c r="H212" t="str">
        <f t="shared" si="7"/>
        <v/>
      </c>
      <c r="I212">
        <f>IF(AND(H212&gt;1,COUNTIF($G$2:G212,G212)=1),1,0)</f>
        <v>0</v>
      </c>
      <c r="J212">
        <f>SUM($I$2:I212)</f>
        <v>25</v>
      </c>
    </row>
    <row r="213" spans="5:10" x14ac:dyDescent="0.25">
      <c r="E213" s="4"/>
      <c r="F213" s="4"/>
      <c r="G213" t="str">
        <f t="shared" si="6"/>
        <v/>
      </c>
      <c r="H213" t="str">
        <f t="shared" si="7"/>
        <v/>
      </c>
      <c r="I213">
        <f>IF(AND(H213&gt;1,COUNTIF($G$2:G213,G213)=1),1,0)</f>
        <v>0</v>
      </c>
      <c r="J213">
        <f>SUM($I$2:I213)</f>
        <v>25</v>
      </c>
    </row>
    <row r="214" spans="5:10" x14ac:dyDescent="0.25">
      <c r="E214" s="4"/>
      <c r="F214" s="4"/>
      <c r="G214" t="str">
        <f t="shared" si="6"/>
        <v/>
      </c>
      <c r="H214" t="str">
        <f t="shared" si="7"/>
        <v/>
      </c>
      <c r="I214">
        <f>IF(AND(H214&gt;1,COUNTIF($G$2:G214,G214)=1),1,0)</f>
        <v>0</v>
      </c>
      <c r="J214">
        <f>SUM($I$2:I214)</f>
        <v>25</v>
      </c>
    </row>
    <row r="215" spans="5:10" x14ac:dyDescent="0.25">
      <c r="E215" s="4"/>
      <c r="F215" s="4"/>
      <c r="G215" t="str">
        <f t="shared" si="6"/>
        <v/>
      </c>
      <c r="H215" t="str">
        <f t="shared" si="7"/>
        <v/>
      </c>
      <c r="I215">
        <f>IF(AND(H215&gt;1,COUNTIF($G$2:G215,G215)=1),1,0)</f>
        <v>0</v>
      </c>
      <c r="J215">
        <f>SUM($I$2:I215)</f>
        <v>25</v>
      </c>
    </row>
    <row r="216" spans="5:10" x14ac:dyDescent="0.25">
      <c r="E216" s="4"/>
      <c r="F216" s="4"/>
      <c r="G216" t="str">
        <f t="shared" si="6"/>
        <v/>
      </c>
      <c r="H216" t="str">
        <f t="shared" si="7"/>
        <v/>
      </c>
      <c r="I216">
        <f>IF(AND(H216&gt;1,COUNTIF($G$2:G216,G216)=1),1,0)</f>
        <v>0</v>
      </c>
      <c r="J216">
        <f>SUM($I$2:I216)</f>
        <v>25</v>
      </c>
    </row>
    <row r="217" spans="5:10" x14ac:dyDescent="0.25">
      <c r="E217" s="4"/>
      <c r="F217" s="4"/>
      <c r="G217" t="str">
        <f t="shared" si="6"/>
        <v/>
      </c>
      <c r="H217" t="str">
        <f t="shared" si="7"/>
        <v/>
      </c>
      <c r="I217">
        <f>IF(AND(H217&gt;1,COUNTIF($G$2:G217,G217)=1),1,0)</f>
        <v>0</v>
      </c>
      <c r="J217">
        <f>SUM($I$2:I217)</f>
        <v>25</v>
      </c>
    </row>
    <row r="218" spans="5:10" x14ac:dyDescent="0.25">
      <c r="E218" s="4"/>
      <c r="F218" s="4"/>
      <c r="G218" t="str">
        <f t="shared" si="6"/>
        <v/>
      </c>
      <c r="H218" t="str">
        <f t="shared" si="7"/>
        <v/>
      </c>
      <c r="I218">
        <f>IF(AND(H218&gt;1,COUNTIF($G$2:G218,G218)=1),1,0)</f>
        <v>0</v>
      </c>
      <c r="J218">
        <f>SUM($I$2:I218)</f>
        <v>25</v>
      </c>
    </row>
    <row r="219" spans="5:10" x14ac:dyDescent="0.25">
      <c r="E219" s="4"/>
      <c r="F219" s="4"/>
      <c r="G219" t="str">
        <f t="shared" si="6"/>
        <v/>
      </c>
      <c r="H219" t="str">
        <f t="shared" si="7"/>
        <v/>
      </c>
      <c r="I219">
        <f>IF(AND(H219&gt;1,COUNTIF($G$2:G219,G219)=1),1,0)</f>
        <v>0</v>
      </c>
      <c r="J219">
        <f>SUM($I$2:I219)</f>
        <v>25</v>
      </c>
    </row>
    <row r="220" spans="5:10" x14ac:dyDescent="0.25">
      <c r="E220" s="4"/>
      <c r="F220" s="4"/>
      <c r="G220" t="str">
        <f t="shared" si="6"/>
        <v/>
      </c>
      <c r="H220" t="str">
        <f t="shared" si="7"/>
        <v/>
      </c>
      <c r="I220">
        <f>IF(AND(H220&gt;1,COUNTIF($G$2:G220,G220)=1),1,0)</f>
        <v>0</v>
      </c>
      <c r="J220">
        <f>SUM($I$2:I220)</f>
        <v>25</v>
      </c>
    </row>
    <row r="221" spans="5:10" x14ac:dyDescent="0.25">
      <c r="E221" s="4"/>
      <c r="F221" s="4"/>
      <c r="G221" t="str">
        <f t="shared" si="6"/>
        <v/>
      </c>
      <c r="H221" t="str">
        <f t="shared" si="7"/>
        <v/>
      </c>
      <c r="I221">
        <f>IF(AND(H221&gt;1,COUNTIF($G$2:G221,G221)=1),1,0)</f>
        <v>0</v>
      </c>
      <c r="J221">
        <f>SUM($I$2:I221)</f>
        <v>25</v>
      </c>
    </row>
    <row r="222" spans="5:10" x14ac:dyDescent="0.25">
      <c r="E222" s="4"/>
      <c r="F222" s="4"/>
      <c r="G222" t="str">
        <f t="shared" si="6"/>
        <v/>
      </c>
      <c r="H222" t="str">
        <f t="shared" si="7"/>
        <v/>
      </c>
      <c r="I222">
        <f>IF(AND(H222&gt;1,COUNTIF($G$2:G222,G222)=1),1,0)</f>
        <v>0</v>
      </c>
      <c r="J222">
        <f>SUM($I$2:I222)</f>
        <v>25</v>
      </c>
    </row>
    <row r="223" spans="5:10" x14ac:dyDescent="0.25">
      <c r="E223" s="4"/>
      <c r="F223" s="4"/>
      <c r="G223" t="str">
        <f t="shared" si="6"/>
        <v/>
      </c>
      <c r="H223" t="str">
        <f t="shared" si="7"/>
        <v/>
      </c>
      <c r="I223">
        <f>IF(AND(H223&gt;1,COUNTIF($G$2:G223,G223)=1),1,0)</f>
        <v>0</v>
      </c>
      <c r="J223">
        <f>SUM($I$2:I223)</f>
        <v>25</v>
      </c>
    </row>
    <row r="224" spans="5:10" x14ac:dyDescent="0.25">
      <c r="E224" s="4"/>
      <c r="F224" s="4"/>
      <c r="G224" t="str">
        <f t="shared" si="6"/>
        <v/>
      </c>
      <c r="H224" t="str">
        <f t="shared" si="7"/>
        <v/>
      </c>
      <c r="I224">
        <f>IF(AND(H224&gt;1,COUNTIF($G$2:G224,G224)=1),1,0)</f>
        <v>0</v>
      </c>
      <c r="J224">
        <f>SUM($I$2:I224)</f>
        <v>25</v>
      </c>
    </row>
    <row r="225" spans="5:10" x14ac:dyDescent="0.25">
      <c r="E225" s="4"/>
      <c r="F225" s="4"/>
      <c r="G225" t="str">
        <f t="shared" si="6"/>
        <v/>
      </c>
      <c r="H225" t="str">
        <f t="shared" si="7"/>
        <v/>
      </c>
      <c r="I225">
        <f>IF(AND(H225&gt;1,COUNTIF($G$2:G225,G225)=1),1,0)</f>
        <v>0</v>
      </c>
      <c r="J225">
        <f>SUM($I$2:I225)</f>
        <v>25</v>
      </c>
    </row>
    <row r="226" spans="5:10" x14ac:dyDescent="0.25">
      <c r="E226" s="4"/>
      <c r="F226" s="4"/>
      <c r="G226" t="str">
        <f t="shared" si="6"/>
        <v/>
      </c>
      <c r="H226" t="str">
        <f t="shared" si="7"/>
        <v/>
      </c>
      <c r="I226">
        <f>IF(AND(H226&gt;1,COUNTIF($G$2:G226,G226)=1),1,0)</f>
        <v>0</v>
      </c>
      <c r="J226">
        <f>SUM($I$2:I226)</f>
        <v>25</v>
      </c>
    </row>
    <row r="227" spans="5:10" x14ac:dyDescent="0.25">
      <c r="E227" s="4"/>
      <c r="F227" s="4"/>
      <c r="G227" t="str">
        <f t="shared" si="6"/>
        <v/>
      </c>
      <c r="H227" t="str">
        <f t="shared" si="7"/>
        <v/>
      </c>
      <c r="I227">
        <f>IF(AND(H227&gt;1,COUNTIF($G$2:G227,G227)=1),1,0)</f>
        <v>0</v>
      </c>
      <c r="J227">
        <f>SUM($I$2:I227)</f>
        <v>25</v>
      </c>
    </row>
    <row r="228" spans="5:10" x14ac:dyDescent="0.25">
      <c r="E228" s="4"/>
      <c r="F228" s="4"/>
      <c r="G228" t="str">
        <f t="shared" si="6"/>
        <v/>
      </c>
      <c r="H228" t="str">
        <f t="shared" si="7"/>
        <v/>
      </c>
      <c r="I228">
        <f>IF(AND(H228&gt;1,COUNTIF($G$2:G228,G228)=1),1,0)</f>
        <v>0</v>
      </c>
      <c r="J228">
        <f>SUM($I$2:I228)</f>
        <v>25</v>
      </c>
    </row>
    <row r="229" spans="5:10" x14ac:dyDescent="0.25">
      <c r="E229" s="4"/>
      <c r="F229" s="4"/>
      <c r="G229" t="str">
        <f t="shared" si="6"/>
        <v/>
      </c>
      <c r="H229" t="str">
        <f t="shared" si="7"/>
        <v/>
      </c>
      <c r="I229">
        <f>IF(AND(H229&gt;1,COUNTIF($G$2:G229,G229)=1),1,0)</f>
        <v>0</v>
      </c>
      <c r="J229">
        <f>SUM($I$2:I229)</f>
        <v>25</v>
      </c>
    </row>
    <row r="230" spans="5:10" x14ac:dyDescent="0.25">
      <c r="E230" s="4"/>
      <c r="F230" s="4"/>
      <c r="G230" t="str">
        <f t="shared" si="6"/>
        <v/>
      </c>
      <c r="H230" t="str">
        <f t="shared" si="7"/>
        <v/>
      </c>
      <c r="I230">
        <f>IF(AND(H230&gt;1,COUNTIF($G$2:G230,G230)=1),1,0)</f>
        <v>0</v>
      </c>
      <c r="J230">
        <f>SUM($I$2:I230)</f>
        <v>25</v>
      </c>
    </row>
    <row r="231" spans="5:10" x14ac:dyDescent="0.25">
      <c r="E231" s="4"/>
      <c r="F231" s="4"/>
      <c r="G231" t="str">
        <f t="shared" si="6"/>
        <v/>
      </c>
      <c r="H231" t="str">
        <f t="shared" si="7"/>
        <v/>
      </c>
      <c r="I231">
        <f>IF(AND(H231&gt;1,COUNTIF($G$2:G231,G231)=1),1,0)</f>
        <v>0</v>
      </c>
      <c r="J231">
        <f>SUM($I$2:I231)</f>
        <v>25</v>
      </c>
    </row>
    <row r="232" spans="5:10" x14ac:dyDescent="0.25">
      <c r="E232" s="4"/>
      <c r="F232" s="4"/>
      <c r="G232" t="str">
        <f t="shared" si="6"/>
        <v/>
      </c>
      <c r="H232" t="str">
        <f t="shared" si="7"/>
        <v/>
      </c>
      <c r="I232">
        <f>IF(AND(H232&gt;1,COUNTIF($G$2:G232,G232)=1),1,0)</f>
        <v>0</v>
      </c>
      <c r="J232">
        <f>SUM($I$2:I232)</f>
        <v>25</v>
      </c>
    </row>
    <row r="233" spans="5:10" x14ac:dyDescent="0.25">
      <c r="E233" s="4"/>
      <c r="F233" s="4"/>
      <c r="G233" t="str">
        <f t="shared" si="6"/>
        <v/>
      </c>
      <c r="H233" t="str">
        <f t="shared" si="7"/>
        <v/>
      </c>
      <c r="I233">
        <f>IF(AND(H233&gt;1,COUNTIF($G$2:G233,G233)=1),1,0)</f>
        <v>0</v>
      </c>
      <c r="J233">
        <f>SUM($I$2:I233)</f>
        <v>25</v>
      </c>
    </row>
    <row r="234" spans="5:10" x14ac:dyDescent="0.25">
      <c r="E234" s="4"/>
      <c r="F234" s="4"/>
      <c r="G234" t="str">
        <f t="shared" si="6"/>
        <v/>
      </c>
      <c r="H234" t="str">
        <f t="shared" si="7"/>
        <v/>
      </c>
      <c r="I234">
        <f>IF(AND(H234&gt;1,COUNTIF($G$2:G234,G234)=1),1,0)</f>
        <v>0</v>
      </c>
      <c r="J234">
        <f>SUM($I$2:I234)</f>
        <v>25</v>
      </c>
    </row>
    <row r="235" spans="5:10" x14ac:dyDescent="0.25">
      <c r="E235" s="4"/>
      <c r="F235" s="4"/>
      <c r="G235" t="str">
        <f t="shared" si="6"/>
        <v/>
      </c>
      <c r="H235" t="str">
        <f t="shared" si="7"/>
        <v/>
      </c>
      <c r="I235">
        <f>IF(AND(H235&gt;1,COUNTIF($G$2:G235,G235)=1),1,0)</f>
        <v>0</v>
      </c>
      <c r="J235">
        <f>SUM($I$2:I235)</f>
        <v>25</v>
      </c>
    </row>
    <row r="236" spans="5:10" x14ac:dyDescent="0.25">
      <c r="E236" s="4"/>
      <c r="F236" s="4"/>
      <c r="G236" t="str">
        <f t="shared" si="6"/>
        <v/>
      </c>
      <c r="H236" t="str">
        <f t="shared" si="7"/>
        <v/>
      </c>
      <c r="I236">
        <f>IF(AND(H236&gt;1,COUNTIF($G$2:G236,G236)=1),1,0)</f>
        <v>0</v>
      </c>
      <c r="J236">
        <f>SUM($I$2:I236)</f>
        <v>25</v>
      </c>
    </row>
    <row r="237" spans="5:10" x14ac:dyDescent="0.25">
      <c r="E237" s="4"/>
      <c r="F237" s="4"/>
      <c r="G237" t="str">
        <f t="shared" si="6"/>
        <v/>
      </c>
      <c r="H237" t="str">
        <f t="shared" si="7"/>
        <v/>
      </c>
      <c r="I237">
        <f>IF(AND(H237&gt;1,COUNTIF($G$2:G237,G237)=1),1,0)</f>
        <v>0</v>
      </c>
      <c r="J237">
        <f>SUM($I$2:I237)</f>
        <v>25</v>
      </c>
    </row>
    <row r="238" spans="5:10" x14ac:dyDescent="0.25">
      <c r="E238" s="4"/>
      <c r="F238" s="4"/>
      <c r="G238" t="str">
        <f t="shared" si="6"/>
        <v/>
      </c>
      <c r="H238" t="str">
        <f t="shared" si="7"/>
        <v/>
      </c>
      <c r="I238">
        <f>IF(AND(H238&gt;1,COUNTIF($G$2:G238,G238)=1),1,0)</f>
        <v>0</v>
      </c>
      <c r="J238">
        <f>SUM($I$2:I238)</f>
        <v>25</v>
      </c>
    </row>
    <row r="239" spans="5:10" x14ac:dyDescent="0.25">
      <c r="E239" s="4"/>
      <c r="F239" s="4"/>
      <c r="G239" t="str">
        <f t="shared" si="6"/>
        <v/>
      </c>
      <c r="H239" t="str">
        <f t="shared" si="7"/>
        <v/>
      </c>
      <c r="I239">
        <f>IF(AND(H239&gt;1,COUNTIF($G$2:G239,G239)=1),1,0)</f>
        <v>0</v>
      </c>
      <c r="J239">
        <f>SUM($I$2:I239)</f>
        <v>25</v>
      </c>
    </row>
    <row r="240" spans="5:10" x14ac:dyDescent="0.25">
      <c r="E240" s="4"/>
      <c r="F240" s="4"/>
      <c r="G240" t="str">
        <f t="shared" si="6"/>
        <v/>
      </c>
      <c r="H240" t="str">
        <f t="shared" si="7"/>
        <v/>
      </c>
      <c r="I240">
        <f>IF(AND(H240&gt;1,COUNTIF($G$2:G240,G240)=1),1,0)</f>
        <v>0</v>
      </c>
      <c r="J240">
        <f>SUM($I$2:I240)</f>
        <v>25</v>
      </c>
    </row>
    <row r="241" spans="5:10" x14ac:dyDescent="0.25">
      <c r="E241" s="4"/>
      <c r="F241" s="4"/>
      <c r="G241" t="str">
        <f t="shared" si="6"/>
        <v/>
      </c>
      <c r="H241" t="str">
        <f t="shared" si="7"/>
        <v/>
      </c>
      <c r="I241">
        <f>IF(AND(H241&gt;1,COUNTIF($G$2:G241,G241)=1),1,0)</f>
        <v>0</v>
      </c>
      <c r="J241">
        <f>SUM($I$2:I241)</f>
        <v>25</v>
      </c>
    </row>
    <row r="242" spans="5:10" x14ac:dyDescent="0.25">
      <c r="E242" s="4"/>
      <c r="F242" s="4"/>
      <c r="G242" t="str">
        <f t="shared" si="6"/>
        <v/>
      </c>
      <c r="H242" t="str">
        <f t="shared" si="7"/>
        <v/>
      </c>
      <c r="I242">
        <f>IF(AND(H242&gt;1,COUNTIF($G$2:G242,G242)=1),1,0)</f>
        <v>0</v>
      </c>
      <c r="J242">
        <f>SUM($I$2:I242)</f>
        <v>25</v>
      </c>
    </row>
    <row r="243" spans="5:10" x14ac:dyDescent="0.25">
      <c r="E243" s="4"/>
      <c r="F243" s="4"/>
      <c r="G243" t="str">
        <f t="shared" si="6"/>
        <v/>
      </c>
      <c r="H243" t="str">
        <f t="shared" si="7"/>
        <v/>
      </c>
      <c r="I243">
        <f>IF(AND(H243&gt;1,COUNTIF($G$2:G243,G243)=1),1,0)</f>
        <v>0</v>
      </c>
      <c r="J243">
        <f>SUM($I$2:I243)</f>
        <v>25</v>
      </c>
    </row>
    <row r="244" spans="5:10" x14ac:dyDescent="0.25">
      <c r="E244" s="4"/>
      <c r="F244" s="4"/>
      <c r="G244" t="str">
        <f t="shared" si="6"/>
        <v/>
      </c>
      <c r="H244" t="str">
        <f t="shared" si="7"/>
        <v/>
      </c>
      <c r="I244">
        <f>IF(AND(H244&gt;1,COUNTIF($G$2:G244,G244)=1),1,0)</f>
        <v>0</v>
      </c>
      <c r="J244">
        <f>SUM($I$2:I244)</f>
        <v>25</v>
      </c>
    </row>
    <row r="245" spans="5:10" x14ac:dyDescent="0.25">
      <c r="E245" s="4"/>
      <c r="F245" s="4"/>
      <c r="G245" t="str">
        <f t="shared" si="6"/>
        <v/>
      </c>
      <c r="H245" t="str">
        <f t="shared" si="7"/>
        <v/>
      </c>
      <c r="I245">
        <f>IF(AND(H245&gt;1,COUNTIF($G$2:G245,G245)=1),1,0)</f>
        <v>0</v>
      </c>
      <c r="J245">
        <f>SUM($I$2:I245)</f>
        <v>25</v>
      </c>
    </row>
    <row r="246" spans="5:10" x14ac:dyDescent="0.25">
      <c r="E246" s="4"/>
      <c r="F246" s="4"/>
      <c r="G246" t="str">
        <f t="shared" si="6"/>
        <v/>
      </c>
      <c r="H246" t="str">
        <f t="shared" si="7"/>
        <v/>
      </c>
      <c r="I246">
        <f>IF(AND(H246&gt;1,COUNTIF($G$2:G246,G246)=1),1,0)</f>
        <v>0</v>
      </c>
      <c r="J246">
        <f>SUM($I$2:I246)</f>
        <v>25</v>
      </c>
    </row>
    <row r="247" spans="5:10" x14ac:dyDescent="0.25">
      <c r="E247" s="4"/>
      <c r="F247" s="4"/>
      <c r="G247" t="str">
        <f t="shared" si="6"/>
        <v/>
      </c>
      <c r="H247" t="str">
        <f t="shared" si="7"/>
        <v/>
      </c>
      <c r="I247">
        <f>IF(AND(H247&gt;1,COUNTIF($G$2:G247,G247)=1),1,0)</f>
        <v>0</v>
      </c>
      <c r="J247">
        <f>SUM($I$2:I247)</f>
        <v>25</v>
      </c>
    </row>
    <row r="248" spans="5:10" x14ac:dyDescent="0.25">
      <c r="E248" s="4"/>
      <c r="F248" s="4"/>
      <c r="G248" t="str">
        <f t="shared" si="6"/>
        <v/>
      </c>
      <c r="H248" t="str">
        <f t="shared" si="7"/>
        <v/>
      </c>
      <c r="I248">
        <f>IF(AND(H248&gt;1,COUNTIF($G$2:G248,G248)=1),1,0)</f>
        <v>0</v>
      </c>
      <c r="J248">
        <f>SUM($I$2:I248)</f>
        <v>25</v>
      </c>
    </row>
    <row r="249" spans="5:10" x14ac:dyDescent="0.25">
      <c r="E249" s="4"/>
      <c r="F249" s="4"/>
      <c r="G249" t="str">
        <f t="shared" si="6"/>
        <v/>
      </c>
      <c r="H249" t="str">
        <f t="shared" si="7"/>
        <v/>
      </c>
      <c r="I249">
        <f>IF(AND(H249&gt;1,COUNTIF($G$2:G249,G249)=1),1,0)</f>
        <v>0</v>
      </c>
      <c r="J249">
        <f>SUM($I$2:I249)</f>
        <v>25</v>
      </c>
    </row>
    <row r="250" spans="5:10" x14ac:dyDescent="0.25">
      <c r="E250" s="4"/>
      <c r="F250" s="4"/>
      <c r="G250" t="str">
        <f t="shared" si="6"/>
        <v/>
      </c>
      <c r="H250" t="str">
        <f t="shared" si="7"/>
        <v/>
      </c>
      <c r="I250">
        <f>IF(AND(H250&gt;1,COUNTIF($G$2:G250,G250)=1),1,0)</f>
        <v>0</v>
      </c>
      <c r="J250">
        <f>SUM($I$2:I250)</f>
        <v>25</v>
      </c>
    </row>
    <row r="251" spans="5:10" x14ac:dyDescent="0.25">
      <c r="E251" s="4"/>
      <c r="F251" s="4"/>
      <c r="G251" t="str">
        <f t="shared" si="6"/>
        <v/>
      </c>
      <c r="H251" t="str">
        <f t="shared" si="7"/>
        <v/>
      </c>
      <c r="I251">
        <f>IF(AND(H251&gt;1,COUNTIF($G$2:G251,G251)=1),1,0)</f>
        <v>0</v>
      </c>
      <c r="J251">
        <f>SUM($I$2:I251)</f>
        <v>25</v>
      </c>
    </row>
    <row r="252" spans="5:10" x14ac:dyDescent="0.25">
      <c r="E252" s="4"/>
      <c r="F252" s="4"/>
      <c r="G252" t="str">
        <f t="shared" si="6"/>
        <v/>
      </c>
      <c r="H252" t="str">
        <f t="shared" si="7"/>
        <v/>
      </c>
      <c r="I252">
        <f>IF(AND(H252&gt;1,COUNTIF($G$2:G252,G252)=1),1,0)</f>
        <v>0</v>
      </c>
      <c r="J252">
        <f>SUM($I$2:I252)</f>
        <v>25</v>
      </c>
    </row>
    <row r="253" spans="5:10" x14ac:dyDescent="0.25">
      <c r="E253" s="4"/>
      <c r="F253" s="4"/>
      <c r="G253" t="str">
        <f t="shared" si="6"/>
        <v/>
      </c>
      <c r="H253" t="str">
        <f t="shared" si="7"/>
        <v/>
      </c>
      <c r="I253">
        <f>IF(AND(H253&gt;1,COUNTIF($G$2:G253,G253)=1),1,0)</f>
        <v>0</v>
      </c>
      <c r="J253">
        <f>SUM($I$2:I253)</f>
        <v>25</v>
      </c>
    </row>
    <row r="254" spans="5:10" x14ac:dyDescent="0.25">
      <c r="E254" s="4"/>
      <c r="F254" s="4"/>
      <c r="G254" t="str">
        <f t="shared" si="6"/>
        <v/>
      </c>
      <c r="H254" t="str">
        <f t="shared" si="7"/>
        <v/>
      </c>
      <c r="I254">
        <f>IF(AND(H254&gt;1,COUNTIF($G$2:G254,G254)=1),1,0)</f>
        <v>0</v>
      </c>
      <c r="J254">
        <f>SUM($I$2:I254)</f>
        <v>25</v>
      </c>
    </row>
    <row r="255" spans="5:10" x14ac:dyDescent="0.25">
      <c r="E255" s="4"/>
      <c r="F255" s="4"/>
      <c r="G255" t="str">
        <f t="shared" si="6"/>
        <v/>
      </c>
      <c r="H255" t="str">
        <f t="shared" si="7"/>
        <v/>
      </c>
      <c r="I255">
        <f>IF(AND(H255&gt;1,COUNTIF($G$2:G255,G255)=1),1,0)</f>
        <v>0</v>
      </c>
      <c r="J255">
        <f>SUM($I$2:I255)</f>
        <v>25</v>
      </c>
    </row>
    <row r="256" spans="5:10" x14ac:dyDescent="0.25">
      <c r="E256" s="4"/>
      <c r="F256" s="4"/>
      <c r="G256" t="str">
        <f t="shared" si="6"/>
        <v/>
      </c>
      <c r="H256" t="str">
        <f t="shared" si="7"/>
        <v/>
      </c>
      <c r="I256">
        <f>IF(AND(H256&gt;1,COUNTIF($G$2:G256,G256)=1),1,0)</f>
        <v>0</v>
      </c>
      <c r="J256">
        <f>SUM($I$2:I256)</f>
        <v>25</v>
      </c>
    </row>
    <row r="257" spans="5:10" x14ac:dyDescent="0.25">
      <c r="E257" s="4"/>
      <c r="F257" s="4"/>
      <c r="G257" t="str">
        <f t="shared" si="6"/>
        <v/>
      </c>
      <c r="H257" t="str">
        <f t="shared" si="7"/>
        <v/>
      </c>
      <c r="I257">
        <f>IF(AND(H257&gt;1,COUNTIF($G$2:G257,G257)=1),1,0)</f>
        <v>0</v>
      </c>
      <c r="J257">
        <f>SUM($I$2:I257)</f>
        <v>25</v>
      </c>
    </row>
    <row r="258" spans="5:10" x14ac:dyDescent="0.25">
      <c r="E258" s="4"/>
      <c r="F258" s="4"/>
      <c r="G258" t="str">
        <f t="shared" ref="G258:G321" si="8">IF(OR(C258="",D258=""),"",TEXT(C258,"0.0000000")&amp;"|"&amp;TEXT(D258,"0.0000000"))</f>
        <v/>
      </c>
      <c r="H258" t="str">
        <f t="shared" ref="H258:H321" si="9">IF(G258="","",COUNTIF($G$2:$G$500,G258))</f>
        <v/>
      </c>
      <c r="I258">
        <f>IF(AND(H258&gt;1,COUNTIF($G$2:G258,G258)=1),1,0)</f>
        <v>0</v>
      </c>
      <c r="J258">
        <f>SUM($I$2:I258)</f>
        <v>25</v>
      </c>
    </row>
    <row r="259" spans="5:10" x14ac:dyDescent="0.25">
      <c r="E259" s="4"/>
      <c r="F259" s="4"/>
      <c r="G259" t="str">
        <f t="shared" si="8"/>
        <v/>
      </c>
      <c r="H259" t="str">
        <f t="shared" si="9"/>
        <v/>
      </c>
      <c r="I259">
        <f>IF(AND(H259&gt;1,COUNTIF($G$2:G259,G259)=1),1,0)</f>
        <v>0</v>
      </c>
      <c r="J259">
        <f>SUM($I$2:I259)</f>
        <v>25</v>
      </c>
    </row>
    <row r="260" spans="5:10" x14ac:dyDescent="0.25">
      <c r="E260" s="4"/>
      <c r="F260" s="4"/>
      <c r="G260" t="str">
        <f t="shared" si="8"/>
        <v/>
      </c>
      <c r="H260" t="str">
        <f t="shared" si="9"/>
        <v/>
      </c>
      <c r="I260">
        <f>IF(AND(H260&gt;1,COUNTIF($G$2:G260,G260)=1),1,0)</f>
        <v>0</v>
      </c>
      <c r="J260">
        <f>SUM($I$2:I260)</f>
        <v>25</v>
      </c>
    </row>
    <row r="261" spans="5:10" x14ac:dyDescent="0.25">
      <c r="E261" s="4"/>
      <c r="F261" s="4"/>
      <c r="G261" t="str">
        <f t="shared" si="8"/>
        <v/>
      </c>
      <c r="H261" t="str">
        <f t="shared" si="9"/>
        <v/>
      </c>
      <c r="I261">
        <f>IF(AND(H261&gt;1,COUNTIF($G$2:G261,G261)=1),1,0)</f>
        <v>0</v>
      </c>
      <c r="J261">
        <f>SUM($I$2:I261)</f>
        <v>25</v>
      </c>
    </row>
    <row r="262" spans="5:10" x14ac:dyDescent="0.25">
      <c r="E262" s="4"/>
      <c r="F262" s="4"/>
      <c r="G262" t="str">
        <f t="shared" si="8"/>
        <v/>
      </c>
      <c r="H262" t="str">
        <f t="shared" si="9"/>
        <v/>
      </c>
      <c r="I262">
        <f>IF(AND(H262&gt;1,COUNTIF($G$2:G262,G262)=1),1,0)</f>
        <v>0</v>
      </c>
      <c r="J262">
        <f>SUM($I$2:I262)</f>
        <v>25</v>
      </c>
    </row>
    <row r="263" spans="5:10" x14ac:dyDescent="0.25">
      <c r="E263" s="4"/>
      <c r="F263" s="4"/>
      <c r="G263" t="str">
        <f t="shared" si="8"/>
        <v/>
      </c>
      <c r="H263" t="str">
        <f t="shared" si="9"/>
        <v/>
      </c>
      <c r="I263">
        <f>IF(AND(H263&gt;1,COUNTIF($G$2:G263,G263)=1),1,0)</f>
        <v>0</v>
      </c>
      <c r="J263">
        <f>SUM($I$2:I263)</f>
        <v>25</v>
      </c>
    </row>
    <row r="264" spans="5:10" x14ac:dyDescent="0.25">
      <c r="E264" s="4"/>
      <c r="F264" s="4"/>
      <c r="G264" t="str">
        <f t="shared" si="8"/>
        <v/>
      </c>
      <c r="H264" t="str">
        <f t="shared" si="9"/>
        <v/>
      </c>
      <c r="I264">
        <f>IF(AND(H264&gt;1,COUNTIF($G$2:G264,G264)=1),1,0)</f>
        <v>0</v>
      </c>
      <c r="J264">
        <f>SUM($I$2:I264)</f>
        <v>25</v>
      </c>
    </row>
    <row r="265" spans="5:10" x14ac:dyDescent="0.25">
      <c r="E265" s="4"/>
      <c r="F265" s="4"/>
      <c r="G265" t="str">
        <f t="shared" si="8"/>
        <v/>
      </c>
      <c r="H265" t="str">
        <f t="shared" si="9"/>
        <v/>
      </c>
      <c r="I265">
        <f>IF(AND(H265&gt;1,COUNTIF($G$2:G265,G265)=1),1,0)</f>
        <v>0</v>
      </c>
      <c r="J265">
        <f>SUM($I$2:I265)</f>
        <v>25</v>
      </c>
    </row>
    <row r="266" spans="5:10" x14ac:dyDescent="0.25">
      <c r="E266" s="4"/>
      <c r="F266" s="4"/>
      <c r="G266" t="str">
        <f t="shared" si="8"/>
        <v/>
      </c>
      <c r="H266" t="str">
        <f t="shared" si="9"/>
        <v/>
      </c>
      <c r="I266">
        <f>IF(AND(H266&gt;1,COUNTIF($G$2:G266,G266)=1),1,0)</f>
        <v>0</v>
      </c>
      <c r="J266">
        <f>SUM($I$2:I266)</f>
        <v>25</v>
      </c>
    </row>
    <row r="267" spans="5:10" x14ac:dyDescent="0.25">
      <c r="E267" s="4"/>
      <c r="F267" s="4"/>
      <c r="G267" t="str">
        <f t="shared" si="8"/>
        <v/>
      </c>
      <c r="H267" t="str">
        <f t="shared" si="9"/>
        <v/>
      </c>
      <c r="I267">
        <f>IF(AND(H267&gt;1,COUNTIF($G$2:G267,G267)=1),1,0)</f>
        <v>0</v>
      </c>
      <c r="J267">
        <f>SUM($I$2:I267)</f>
        <v>25</v>
      </c>
    </row>
    <row r="268" spans="5:10" x14ac:dyDescent="0.25">
      <c r="E268" s="4"/>
      <c r="F268" s="4"/>
      <c r="G268" t="str">
        <f t="shared" si="8"/>
        <v/>
      </c>
      <c r="H268" t="str">
        <f t="shared" si="9"/>
        <v/>
      </c>
      <c r="I268">
        <f>IF(AND(H268&gt;1,COUNTIF($G$2:G268,G268)=1),1,0)</f>
        <v>0</v>
      </c>
      <c r="J268">
        <f>SUM($I$2:I268)</f>
        <v>25</v>
      </c>
    </row>
    <row r="269" spans="5:10" x14ac:dyDescent="0.25">
      <c r="E269" s="4"/>
      <c r="F269" s="4"/>
      <c r="G269" t="str">
        <f t="shared" si="8"/>
        <v/>
      </c>
      <c r="H269" t="str">
        <f t="shared" si="9"/>
        <v/>
      </c>
      <c r="I269">
        <f>IF(AND(H269&gt;1,COUNTIF($G$2:G269,G269)=1),1,0)</f>
        <v>0</v>
      </c>
      <c r="J269">
        <f>SUM($I$2:I269)</f>
        <v>25</v>
      </c>
    </row>
    <row r="270" spans="5:10" x14ac:dyDescent="0.25">
      <c r="E270" s="4"/>
      <c r="F270" s="4"/>
      <c r="G270" t="str">
        <f t="shared" si="8"/>
        <v/>
      </c>
      <c r="H270" t="str">
        <f t="shared" si="9"/>
        <v/>
      </c>
      <c r="I270">
        <f>IF(AND(H270&gt;1,COUNTIF($G$2:G270,G270)=1),1,0)</f>
        <v>0</v>
      </c>
      <c r="J270">
        <f>SUM($I$2:I270)</f>
        <v>25</v>
      </c>
    </row>
    <row r="271" spans="5:10" x14ac:dyDescent="0.25">
      <c r="E271" s="4"/>
      <c r="F271" s="4"/>
      <c r="G271" t="str">
        <f t="shared" si="8"/>
        <v/>
      </c>
      <c r="H271" t="str">
        <f t="shared" si="9"/>
        <v/>
      </c>
      <c r="I271">
        <f>IF(AND(H271&gt;1,COUNTIF($G$2:G271,G271)=1),1,0)</f>
        <v>0</v>
      </c>
      <c r="J271">
        <f>SUM($I$2:I271)</f>
        <v>25</v>
      </c>
    </row>
    <row r="272" spans="5:10" x14ac:dyDescent="0.25">
      <c r="E272" s="4"/>
      <c r="F272" s="4"/>
      <c r="G272" t="str">
        <f t="shared" si="8"/>
        <v/>
      </c>
      <c r="H272" t="str">
        <f t="shared" si="9"/>
        <v/>
      </c>
      <c r="I272">
        <f>IF(AND(H272&gt;1,COUNTIF($G$2:G272,G272)=1),1,0)</f>
        <v>0</v>
      </c>
      <c r="J272">
        <f>SUM($I$2:I272)</f>
        <v>25</v>
      </c>
    </row>
    <row r="273" spans="5:10" x14ac:dyDescent="0.25">
      <c r="E273" s="4"/>
      <c r="F273" s="4"/>
      <c r="G273" t="str">
        <f t="shared" si="8"/>
        <v/>
      </c>
      <c r="H273" t="str">
        <f t="shared" si="9"/>
        <v/>
      </c>
      <c r="I273">
        <f>IF(AND(H273&gt;1,COUNTIF($G$2:G273,G273)=1),1,0)</f>
        <v>0</v>
      </c>
      <c r="J273">
        <f>SUM($I$2:I273)</f>
        <v>25</v>
      </c>
    </row>
    <row r="274" spans="5:10" x14ac:dyDescent="0.25">
      <c r="E274" s="4"/>
      <c r="F274" s="4"/>
      <c r="G274" t="str">
        <f t="shared" si="8"/>
        <v/>
      </c>
      <c r="H274" t="str">
        <f t="shared" si="9"/>
        <v/>
      </c>
      <c r="I274">
        <f>IF(AND(H274&gt;1,COUNTIF($G$2:G274,G274)=1),1,0)</f>
        <v>0</v>
      </c>
      <c r="J274">
        <f>SUM($I$2:I274)</f>
        <v>25</v>
      </c>
    </row>
    <row r="275" spans="5:10" x14ac:dyDescent="0.25">
      <c r="E275" s="4"/>
      <c r="F275" s="4"/>
      <c r="G275" t="str">
        <f t="shared" si="8"/>
        <v/>
      </c>
      <c r="H275" t="str">
        <f t="shared" si="9"/>
        <v/>
      </c>
      <c r="I275">
        <f>IF(AND(H275&gt;1,COUNTIF($G$2:G275,G275)=1),1,0)</f>
        <v>0</v>
      </c>
      <c r="J275">
        <f>SUM($I$2:I275)</f>
        <v>25</v>
      </c>
    </row>
    <row r="276" spans="5:10" x14ac:dyDescent="0.25">
      <c r="E276" s="4"/>
      <c r="F276" s="4"/>
      <c r="G276" t="str">
        <f t="shared" si="8"/>
        <v/>
      </c>
      <c r="H276" t="str">
        <f t="shared" si="9"/>
        <v/>
      </c>
      <c r="I276">
        <f>IF(AND(H276&gt;1,COUNTIF($G$2:G276,G276)=1),1,0)</f>
        <v>0</v>
      </c>
      <c r="J276">
        <f>SUM($I$2:I276)</f>
        <v>25</v>
      </c>
    </row>
    <row r="277" spans="5:10" x14ac:dyDescent="0.25">
      <c r="E277" s="4"/>
      <c r="F277" s="4"/>
      <c r="G277" t="str">
        <f t="shared" si="8"/>
        <v/>
      </c>
      <c r="H277" t="str">
        <f t="shared" si="9"/>
        <v/>
      </c>
      <c r="I277">
        <f>IF(AND(H277&gt;1,COUNTIF($G$2:G277,G277)=1),1,0)</f>
        <v>0</v>
      </c>
      <c r="J277">
        <f>SUM($I$2:I277)</f>
        <v>25</v>
      </c>
    </row>
    <row r="278" spans="5:10" x14ac:dyDescent="0.25">
      <c r="E278" s="4"/>
      <c r="F278" s="4"/>
      <c r="G278" t="str">
        <f t="shared" si="8"/>
        <v/>
      </c>
      <c r="H278" t="str">
        <f t="shared" si="9"/>
        <v/>
      </c>
      <c r="I278">
        <f>IF(AND(H278&gt;1,COUNTIF($G$2:G278,G278)=1),1,0)</f>
        <v>0</v>
      </c>
      <c r="J278">
        <f>SUM($I$2:I278)</f>
        <v>25</v>
      </c>
    </row>
    <row r="279" spans="5:10" x14ac:dyDescent="0.25">
      <c r="E279" s="4"/>
      <c r="F279" s="4"/>
      <c r="G279" t="str">
        <f t="shared" si="8"/>
        <v/>
      </c>
      <c r="H279" t="str">
        <f t="shared" si="9"/>
        <v/>
      </c>
      <c r="I279">
        <f>IF(AND(H279&gt;1,COUNTIF($G$2:G279,G279)=1),1,0)</f>
        <v>0</v>
      </c>
      <c r="J279">
        <f>SUM($I$2:I279)</f>
        <v>25</v>
      </c>
    </row>
    <row r="280" spans="5:10" x14ac:dyDescent="0.25">
      <c r="E280" s="4"/>
      <c r="F280" s="4"/>
      <c r="G280" t="str">
        <f t="shared" si="8"/>
        <v/>
      </c>
      <c r="H280" t="str">
        <f t="shared" si="9"/>
        <v/>
      </c>
      <c r="I280">
        <f>IF(AND(H280&gt;1,COUNTIF($G$2:G280,G280)=1),1,0)</f>
        <v>0</v>
      </c>
      <c r="J280">
        <f>SUM($I$2:I280)</f>
        <v>25</v>
      </c>
    </row>
    <row r="281" spans="5:10" x14ac:dyDescent="0.25">
      <c r="E281" s="4"/>
      <c r="F281" s="4"/>
      <c r="G281" t="str">
        <f t="shared" si="8"/>
        <v/>
      </c>
      <c r="H281" t="str">
        <f t="shared" si="9"/>
        <v/>
      </c>
      <c r="I281">
        <f>IF(AND(H281&gt;1,COUNTIF($G$2:G281,G281)=1),1,0)</f>
        <v>0</v>
      </c>
      <c r="J281">
        <f>SUM($I$2:I281)</f>
        <v>25</v>
      </c>
    </row>
    <row r="282" spans="5:10" x14ac:dyDescent="0.25">
      <c r="E282" s="4"/>
      <c r="F282" s="4"/>
      <c r="G282" t="str">
        <f t="shared" si="8"/>
        <v/>
      </c>
      <c r="H282" t="str">
        <f t="shared" si="9"/>
        <v/>
      </c>
      <c r="I282">
        <f>IF(AND(H282&gt;1,COUNTIF($G$2:G282,G282)=1),1,0)</f>
        <v>0</v>
      </c>
      <c r="J282">
        <f>SUM($I$2:I282)</f>
        <v>25</v>
      </c>
    </row>
    <row r="283" spans="5:10" x14ac:dyDescent="0.25">
      <c r="E283" s="4"/>
      <c r="F283" s="4"/>
      <c r="G283" t="str">
        <f t="shared" si="8"/>
        <v/>
      </c>
      <c r="H283" t="str">
        <f t="shared" si="9"/>
        <v/>
      </c>
      <c r="I283">
        <f>IF(AND(H283&gt;1,COUNTIF($G$2:G283,G283)=1),1,0)</f>
        <v>0</v>
      </c>
      <c r="J283">
        <f>SUM($I$2:I283)</f>
        <v>25</v>
      </c>
    </row>
    <row r="284" spans="5:10" x14ac:dyDescent="0.25">
      <c r="E284" s="4"/>
      <c r="F284" s="4"/>
      <c r="G284" t="str">
        <f t="shared" si="8"/>
        <v/>
      </c>
      <c r="H284" t="str">
        <f t="shared" si="9"/>
        <v/>
      </c>
      <c r="I284">
        <f>IF(AND(H284&gt;1,COUNTIF($G$2:G284,G284)=1),1,0)</f>
        <v>0</v>
      </c>
      <c r="J284">
        <f>SUM($I$2:I284)</f>
        <v>25</v>
      </c>
    </row>
    <row r="285" spans="5:10" x14ac:dyDescent="0.25">
      <c r="E285" s="4"/>
      <c r="F285" s="4"/>
      <c r="G285" t="str">
        <f t="shared" si="8"/>
        <v/>
      </c>
      <c r="H285" t="str">
        <f t="shared" si="9"/>
        <v/>
      </c>
      <c r="I285">
        <f>IF(AND(H285&gt;1,COUNTIF($G$2:G285,G285)=1),1,0)</f>
        <v>0</v>
      </c>
      <c r="J285">
        <f>SUM($I$2:I285)</f>
        <v>25</v>
      </c>
    </row>
    <row r="286" spans="5:10" x14ac:dyDescent="0.25">
      <c r="E286" s="4"/>
      <c r="F286" s="4"/>
      <c r="G286" t="str">
        <f t="shared" si="8"/>
        <v/>
      </c>
      <c r="H286" t="str">
        <f t="shared" si="9"/>
        <v/>
      </c>
      <c r="I286">
        <f>IF(AND(H286&gt;1,COUNTIF($G$2:G286,G286)=1),1,0)</f>
        <v>0</v>
      </c>
      <c r="J286">
        <f>SUM($I$2:I286)</f>
        <v>25</v>
      </c>
    </row>
    <row r="287" spans="5:10" x14ac:dyDescent="0.25">
      <c r="E287" s="4"/>
      <c r="F287" s="4"/>
      <c r="G287" t="str">
        <f t="shared" si="8"/>
        <v/>
      </c>
      <c r="H287" t="str">
        <f t="shared" si="9"/>
        <v/>
      </c>
      <c r="I287">
        <f>IF(AND(H287&gt;1,COUNTIF($G$2:G287,G287)=1),1,0)</f>
        <v>0</v>
      </c>
      <c r="J287">
        <f>SUM($I$2:I287)</f>
        <v>25</v>
      </c>
    </row>
    <row r="288" spans="5:10" x14ac:dyDescent="0.25">
      <c r="E288" s="4"/>
      <c r="F288" s="4"/>
      <c r="G288" t="str">
        <f t="shared" si="8"/>
        <v/>
      </c>
      <c r="H288" t="str">
        <f t="shared" si="9"/>
        <v/>
      </c>
      <c r="I288">
        <f>IF(AND(H288&gt;1,COUNTIF($G$2:G288,G288)=1),1,0)</f>
        <v>0</v>
      </c>
      <c r="J288">
        <f>SUM($I$2:I288)</f>
        <v>25</v>
      </c>
    </row>
    <row r="289" spans="5:10" x14ac:dyDescent="0.25">
      <c r="E289" s="4"/>
      <c r="F289" s="4"/>
      <c r="G289" t="str">
        <f t="shared" si="8"/>
        <v/>
      </c>
      <c r="H289" t="str">
        <f t="shared" si="9"/>
        <v/>
      </c>
      <c r="I289">
        <f>IF(AND(H289&gt;1,COUNTIF($G$2:G289,G289)=1),1,0)</f>
        <v>0</v>
      </c>
      <c r="J289">
        <f>SUM($I$2:I289)</f>
        <v>25</v>
      </c>
    </row>
    <row r="290" spans="5:10" x14ac:dyDescent="0.25">
      <c r="E290" s="4"/>
      <c r="F290" s="4"/>
      <c r="G290" t="str">
        <f t="shared" si="8"/>
        <v/>
      </c>
      <c r="H290" t="str">
        <f t="shared" si="9"/>
        <v/>
      </c>
      <c r="I290">
        <f>IF(AND(H290&gt;1,COUNTIF($G$2:G290,G290)=1),1,0)</f>
        <v>0</v>
      </c>
      <c r="J290">
        <f>SUM($I$2:I290)</f>
        <v>25</v>
      </c>
    </row>
    <row r="291" spans="5:10" x14ac:dyDescent="0.25">
      <c r="E291" s="4"/>
      <c r="F291" s="4"/>
      <c r="G291" t="str">
        <f t="shared" si="8"/>
        <v/>
      </c>
      <c r="H291" t="str">
        <f t="shared" si="9"/>
        <v/>
      </c>
      <c r="I291">
        <f>IF(AND(H291&gt;1,COUNTIF($G$2:G291,G291)=1),1,0)</f>
        <v>0</v>
      </c>
      <c r="J291">
        <f>SUM($I$2:I291)</f>
        <v>25</v>
      </c>
    </row>
    <row r="292" spans="5:10" x14ac:dyDescent="0.25">
      <c r="E292" s="4"/>
      <c r="F292" s="4"/>
      <c r="G292" t="str">
        <f t="shared" si="8"/>
        <v/>
      </c>
      <c r="H292" t="str">
        <f t="shared" si="9"/>
        <v/>
      </c>
      <c r="I292">
        <f>IF(AND(H292&gt;1,COUNTIF($G$2:G292,G292)=1),1,0)</f>
        <v>0</v>
      </c>
      <c r="J292">
        <f>SUM($I$2:I292)</f>
        <v>25</v>
      </c>
    </row>
    <row r="293" spans="5:10" x14ac:dyDescent="0.25">
      <c r="E293" s="4"/>
      <c r="F293" s="4"/>
      <c r="G293" t="str">
        <f t="shared" si="8"/>
        <v/>
      </c>
      <c r="H293" t="str">
        <f t="shared" si="9"/>
        <v/>
      </c>
      <c r="I293">
        <f>IF(AND(H293&gt;1,COUNTIF($G$2:G293,G293)=1),1,0)</f>
        <v>0</v>
      </c>
      <c r="J293">
        <f>SUM($I$2:I293)</f>
        <v>25</v>
      </c>
    </row>
    <row r="294" spans="5:10" x14ac:dyDescent="0.25">
      <c r="E294" s="4"/>
      <c r="F294" s="4"/>
      <c r="G294" t="str">
        <f t="shared" si="8"/>
        <v/>
      </c>
      <c r="H294" t="str">
        <f t="shared" si="9"/>
        <v/>
      </c>
      <c r="I294">
        <f>IF(AND(H294&gt;1,COUNTIF($G$2:G294,G294)=1),1,0)</f>
        <v>0</v>
      </c>
      <c r="J294">
        <f>SUM($I$2:I294)</f>
        <v>25</v>
      </c>
    </row>
    <row r="295" spans="5:10" x14ac:dyDescent="0.25">
      <c r="E295" s="4"/>
      <c r="F295" s="4"/>
      <c r="G295" t="str">
        <f t="shared" si="8"/>
        <v/>
      </c>
      <c r="H295" t="str">
        <f t="shared" si="9"/>
        <v/>
      </c>
      <c r="I295">
        <f>IF(AND(H295&gt;1,COUNTIF($G$2:G295,G295)=1),1,0)</f>
        <v>0</v>
      </c>
      <c r="J295">
        <f>SUM($I$2:I295)</f>
        <v>25</v>
      </c>
    </row>
    <row r="296" spans="5:10" x14ac:dyDescent="0.25">
      <c r="E296" s="4"/>
      <c r="F296" s="4"/>
      <c r="G296" t="str">
        <f t="shared" si="8"/>
        <v/>
      </c>
      <c r="H296" t="str">
        <f t="shared" si="9"/>
        <v/>
      </c>
      <c r="I296">
        <f>IF(AND(H296&gt;1,COUNTIF($G$2:G296,G296)=1),1,0)</f>
        <v>0</v>
      </c>
      <c r="J296">
        <f>SUM($I$2:I296)</f>
        <v>25</v>
      </c>
    </row>
    <row r="297" spans="5:10" x14ac:dyDescent="0.25">
      <c r="E297" s="4"/>
      <c r="F297" s="4"/>
      <c r="G297" t="str">
        <f t="shared" si="8"/>
        <v/>
      </c>
      <c r="H297" t="str">
        <f t="shared" si="9"/>
        <v/>
      </c>
      <c r="I297">
        <f>IF(AND(H297&gt;1,COUNTIF($G$2:G297,G297)=1),1,0)</f>
        <v>0</v>
      </c>
      <c r="J297">
        <f>SUM($I$2:I297)</f>
        <v>25</v>
      </c>
    </row>
    <row r="298" spans="5:10" x14ac:dyDescent="0.25">
      <c r="E298" s="4"/>
      <c r="F298" s="4"/>
      <c r="G298" t="str">
        <f t="shared" si="8"/>
        <v/>
      </c>
      <c r="H298" t="str">
        <f t="shared" si="9"/>
        <v/>
      </c>
      <c r="I298">
        <f>IF(AND(H298&gt;1,COUNTIF($G$2:G298,G298)=1),1,0)</f>
        <v>0</v>
      </c>
      <c r="J298">
        <f>SUM($I$2:I298)</f>
        <v>25</v>
      </c>
    </row>
    <row r="299" spans="5:10" x14ac:dyDescent="0.25">
      <c r="E299" s="4"/>
      <c r="F299" s="4"/>
      <c r="G299" t="str">
        <f t="shared" si="8"/>
        <v/>
      </c>
      <c r="H299" t="str">
        <f t="shared" si="9"/>
        <v/>
      </c>
      <c r="I299">
        <f>IF(AND(H299&gt;1,COUNTIF($G$2:G299,G299)=1),1,0)</f>
        <v>0</v>
      </c>
      <c r="J299">
        <f>SUM($I$2:I299)</f>
        <v>25</v>
      </c>
    </row>
    <row r="300" spans="5:10" x14ac:dyDescent="0.25">
      <c r="E300" s="4"/>
      <c r="F300" s="4"/>
      <c r="G300" t="str">
        <f t="shared" si="8"/>
        <v/>
      </c>
      <c r="H300" t="str">
        <f t="shared" si="9"/>
        <v/>
      </c>
      <c r="I300">
        <f>IF(AND(H300&gt;1,COUNTIF($G$2:G300,G300)=1),1,0)</f>
        <v>0</v>
      </c>
      <c r="J300">
        <f>SUM($I$2:I300)</f>
        <v>25</v>
      </c>
    </row>
    <row r="301" spans="5:10" x14ac:dyDescent="0.25">
      <c r="E301" s="4"/>
      <c r="F301" s="4"/>
      <c r="G301" t="str">
        <f t="shared" si="8"/>
        <v/>
      </c>
      <c r="H301" t="str">
        <f t="shared" si="9"/>
        <v/>
      </c>
      <c r="I301">
        <f>IF(AND(H301&gt;1,COUNTIF($G$2:G301,G301)=1),1,0)</f>
        <v>0</v>
      </c>
      <c r="J301">
        <f>SUM($I$2:I301)</f>
        <v>25</v>
      </c>
    </row>
    <row r="302" spans="5:10" x14ac:dyDescent="0.25">
      <c r="E302" s="4"/>
      <c r="F302" s="4"/>
      <c r="G302" t="str">
        <f t="shared" si="8"/>
        <v/>
      </c>
      <c r="H302" t="str">
        <f t="shared" si="9"/>
        <v/>
      </c>
      <c r="I302">
        <f>IF(AND(H302&gt;1,COUNTIF($G$2:G302,G302)=1),1,0)</f>
        <v>0</v>
      </c>
      <c r="J302">
        <f>SUM($I$2:I302)</f>
        <v>25</v>
      </c>
    </row>
    <row r="303" spans="5:10" x14ac:dyDescent="0.25">
      <c r="E303" s="4"/>
      <c r="F303" s="4"/>
      <c r="G303" t="str">
        <f t="shared" si="8"/>
        <v/>
      </c>
      <c r="H303" t="str">
        <f t="shared" si="9"/>
        <v/>
      </c>
      <c r="I303">
        <f>IF(AND(H303&gt;1,COUNTIF($G$2:G303,G303)=1),1,0)</f>
        <v>0</v>
      </c>
      <c r="J303">
        <f>SUM($I$2:I303)</f>
        <v>25</v>
      </c>
    </row>
    <row r="304" spans="5:10" x14ac:dyDescent="0.25">
      <c r="E304" s="4"/>
      <c r="F304" s="4"/>
      <c r="G304" t="str">
        <f t="shared" si="8"/>
        <v/>
      </c>
      <c r="H304" t="str">
        <f t="shared" si="9"/>
        <v/>
      </c>
      <c r="I304">
        <f>IF(AND(H304&gt;1,COUNTIF($G$2:G304,G304)=1),1,0)</f>
        <v>0</v>
      </c>
      <c r="J304">
        <f>SUM($I$2:I304)</f>
        <v>25</v>
      </c>
    </row>
    <row r="305" spans="5:10" x14ac:dyDescent="0.25">
      <c r="E305" s="4"/>
      <c r="F305" s="4"/>
      <c r="G305" t="str">
        <f t="shared" si="8"/>
        <v/>
      </c>
      <c r="H305" t="str">
        <f t="shared" si="9"/>
        <v/>
      </c>
      <c r="I305">
        <f>IF(AND(H305&gt;1,COUNTIF($G$2:G305,G305)=1),1,0)</f>
        <v>0</v>
      </c>
      <c r="J305">
        <f>SUM($I$2:I305)</f>
        <v>25</v>
      </c>
    </row>
    <row r="306" spans="5:10" x14ac:dyDescent="0.25">
      <c r="E306" s="4"/>
      <c r="F306" s="4"/>
      <c r="G306" t="str">
        <f t="shared" si="8"/>
        <v/>
      </c>
      <c r="H306" t="str">
        <f t="shared" si="9"/>
        <v/>
      </c>
      <c r="I306">
        <f>IF(AND(H306&gt;1,COUNTIF($G$2:G306,G306)=1),1,0)</f>
        <v>0</v>
      </c>
      <c r="J306">
        <f>SUM($I$2:I306)</f>
        <v>25</v>
      </c>
    </row>
    <row r="307" spans="5:10" x14ac:dyDescent="0.25">
      <c r="E307" s="4"/>
      <c r="F307" s="4"/>
      <c r="G307" t="str">
        <f t="shared" si="8"/>
        <v/>
      </c>
      <c r="H307" t="str">
        <f t="shared" si="9"/>
        <v/>
      </c>
      <c r="I307">
        <f>IF(AND(H307&gt;1,COUNTIF($G$2:G307,G307)=1),1,0)</f>
        <v>0</v>
      </c>
      <c r="J307">
        <f>SUM($I$2:I307)</f>
        <v>25</v>
      </c>
    </row>
    <row r="308" spans="5:10" x14ac:dyDescent="0.25">
      <c r="E308" s="4"/>
      <c r="F308" s="4"/>
      <c r="G308" t="str">
        <f t="shared" si="8"/>
        <v/>
      </c>
      <c r="H308" t="str">
        <f t="shared" si="9"/>
        <v/>
      </c>
      <c r="I308">
        <f>IF(AND(H308&gt;1,COUNTIF($G$2:G308,G308)=1),1,0)</f>
        <v>0</v>
      </c>
      <c r="J308">
        <f>SUM($I$2:I308)</f>
        <v>25</v>
      </c>
    </row>
    <row r="309" spans="5:10" x14ac:dyDescent="0.25">
      <c r="E309" s="4"/>
      <c r="F309" s="4"/>
      <c r="G309" t="str">
        <f t="shared" si="8"/>
        <v/>
      </c>
      <c r="H309" t="str">
        <f t="shared" si="9"/>
        <v/>
      </c>
      <c r="I309">
        <f>IF(AND(H309&gt;1,COUNTIF($G$2:G309,G309)=1),1,0)</f>
        <v>0</v>
      </c>
      <c r="J309">
        <f>SUM($I$2:I309)</f>
        <v>25</v>
      </c>
    </row>
    <row r="310" spans="5:10" x14ac:dyDescent="0.25">
      <c r="E310" s="4"/>
      <c r="F310" s="4"/>
      <c r="G310" t="str">
        <f t="shared" si="8"/>
        <v/>
      </c>
      <c r="H310" t="str">
        <f t="shared" si="9"/>
        <v/>
      </c>
      <c r="I310">
        <f>IF(AND(H310&gt;1,COUNTIF($G$2:G310,G310)=1),1,0)</f>
        <v>0</v>
      </c>
      <c r="J310">
        <f>SUM($I$2:I310)</f>
        <v>25</v>
      </c>
    </row>
    <row r="311" spans="5:10" x14ac:dyDescent="0.25">
      <c r="E311" s="4"/>
      <c r="F311" s="4"/>
      <c r="G311" t="str">
        <f t="shared" si="8"/>
        <v/>
      </c>
      <c r="H311" t="str">
        <f t="shared" si="9"/>
        <v/>
      </c>
      <c r="I311">
        <f>IF(AND(H311&gt;1,COUNTIF($G$2:G311,G311)=1),1,0)</f>
        <v>0</v>
      </c>
      <c r="J311">
        <f>SUM($I$2:I311)</f>
        <v>25</v>
      </c>
    </row>
    <row r="312" spans="5:10" x14ac:dyDescent="0.25">
      <c r="E312" s="4"/>
      <c r="F312" s="4"/>
      <c r="G312" t="str">
        <f t="shared" si="8"/>
        <v/>
      </c>
      <c r="H312" t="str">
        <f t="shared" si="9"/>
        <v/>
      </c>
      <c r="I312">
        <f>IF(AND(H312&gt;1,COUNTIF($G$2:G312,G312)=1),1,0)</f>
        <v>0</v>
      </c>
      <c r="J312">
        <f>SUM($I$2:I312)</f>
        <v>25</v>
      </c>
    </row>
    <row r="313" spans="5:10" x14ac:dyDescent="0.25">
      <c r="E313" s="4"/>
      <c r="F313" s="4"/>
      <c r="G313" t="str">
        <f t="shared" si="8"/>
        <v/>
      </c>
      <c r="H313" t="str">
        <f t="shared" si="9"/>
        <v/>
      </c>
      <c r="I313">
        <f>IF(AND(H313&gt;1,COUNTIF($G$2:G313,G313)=1),1,0)</f>
        <v>0</v>
      </c>
      <c r="J313">
        <f>SUM($I$2:I313)</f>
        <v>25</v>
      </c>
    </row>
    <row r="314" spans="5:10" x14ac:dyDescent="0.25">
      <c r="E314" s="4"/>
      <c r="F314" s="4"/>
      <c r="G314" t="str">
        <f t="shared" si="8"/>
        <v/>
      </c>
      <c r="H314" t="str">
        <f t="shared" si="9"/>
        <v/>
      </c>
      <c r="I314">
        <f>IF(AND(H314&gt;1,COUNTIF($G$2:G314,G314)=1),1,0)</f>
        <v>0</v>
      </c>
      <c r="J314">
        <f>SUM($I$2:I314)</f>
        <v>25</v>
      </c>
    </row>
    <row r="315" spans="5:10" x14ac:dyDescent="0.25">
      <c r="E315" s="4"/>
      <c r="F315" s="4"/>
      <c r="G315" t="str">
        <f t="shared" si="8"/>
        <v/>
      </c>
      <c r="H315" t="str">
        <f t="shared" si="9"/>
        <v/>
      </c>
      <c r="I315">
        <f>IF(AND(H315&gt;1,COUNTIF($G$2:G315,G315)=1),1,0)</f>
        <v>0</v>
      </c>
      <c r="J315">
        <f>SUM($I$2:I315)</f>
        <v>25</v>
      </c>
    </row>
    <row r="316" spans="5:10" x14ac:dyDescent="0.25">
      <c r="E316" s="4"/>
      <c r="F316" s="4"/>
      <c r="G316" t="str">
        <f t="shared" si="8"/>
        <v/>
      </c>
      <c r="H316" t="str">
        <f t="shared" si="9"/>
        <v/>
      </c>
      <c r="I316">
        <f>IF(AND(H316&gt;1,COUNTIF($G$2:G316,G316)=1),1,0)</f>
        <v>0</v>
      </c>
      <c r="J316">
        <f>SUM($I$2:I316)</f>
        <v>25</v>
      </c>
    </row>
    <row r="317" spans="5:10" x14ac:dyDescent="0.25">
      <c r="E317" s="4"/>
      <c r="F317" s="4"/>
      <c r="G317" t="str">
        <f t="shared" si="8"/>
        <v/>
      </c>
      <c r="H317" t="str">
        <f t="shared" si="9"/>
        <v/>
      </c>
      <c r="I317">
        <f>IF(AND(H317&gt;1,COUNTIF($G$2:G317,G317)=1),1,0)</f>
        <v>0</v>
      </c>
      <c r="J317">
        <f>SUM($I$2:I317)</f>
        <v>25</v>
      </c>
    </row>
    <row r="318" spans="5:10" x14ac:dyDescent="0.25">
      <c r="E318" s="4"/>
      <c r="F318" s="4"/>
      <c r="G318" t="str">
        <f t="shared" si="8"/>
        <v/>
      </c>
      <c r="H318" t="str">
        <f t="shared" si="9"/>
        <v/>
      </c>
      <c r="I318">
        <f>IF(AND(H318&gt;1,COUNTIF($G$2:G318,G318)=1),1,0)</f>
        <v>0</v>
      </c>
      <c r="J318">
        <f>SUM($I$2:I318)</f>
        <v>25</v>
      </c>
    </row>
    <row r="319" spans="5:10" x14ac:dyDescent="0.25">
      <c r="E319" s="4"/>
      <c r="F319" s="4"/>
      <c r="G319" t="str">
        <f t="shared" si="8"/>
        <v/>
      </c>
      <c r="H319" t="str">
        <f t="shared" si="9"/>
        <v/>
      </c>
      <c r="I319">
        <f>IF(AND(H319&gt;1,COUNTIF($G$2:G319,G319)=1),1,0)</f>
        <v>0</v>
      </c>
      <c r="J319">
        <f>SUM($I$2:I319)</f>
        <v>25</v>
      </c>
    </row>
    <row r="320" spans="5:10" x14ac:dyDescent="0.25">
      <c r="E320" s="4"/>
      <c r="F320" s="4"/>
      <c r="G320" t="str">
        <f t="shared" si="8"/>
        <v/>
      </c>
      <c r="H320" t="str">
        <f t="shared" si="9"/>
        <v/>
      </c>
      <c r="I320">
        <f>IF(AND(H320&gt;1,COUNTIF($G$2:G320,G320)=1),1,0)</f>
        <v>0</v>
      </c>
      <c r="J320">
        <f>SUM($I$2:I320)</f>
        <v>25</v>
      </c>
    </row>
    <row r="321" spans="5:10" x14ac:dyDescent="0.25">
      <c r="E321" s="4"/>
      <c r="F321" s="4"/>
      <c r="G321" t="str">
        <f t="shared" si="8"/>
        <v/>
      </c>
      <c r="H321" t="str">
        <f t="shared" si="9"/>
        <v/>
      </c>
      <c r="I321">
        <f>IF(AND(H321&gt;1,COUNTIF($G$2:G321,G321)=1),1,0)</f>
        <v>0</v>
      </c>
      <c r="J321">
        <f>SUM($I$2:I321)</f>
        <v>25</v>
      </c>
    </row>
    <row r="322" spans="5:10" x14ac:dyDescent="0.25">
      <c r="E322" s="4"/>
      <c r="F322" s="4"/>
      <c r="G322" t="str">
        <f t="shared" ref="G322:G385" si="10">IF(OR(C322="",D322=""),"",TEXT(C322,"0.0000000")&amp;"|"&amp;TEXT(D322,"0.0000000"))</f>
        <v/>
      </c>
      <c r="H322" t="str">
        <f t="shared" ref="H322:H385" si="11">IF(G322="","",COUNTIF($G$2:$G$500,G322))</f>
        <v/>
      </c>
      <c r="I322">
        <f>IF(AND(H322&gt;1,COUNTIF($G$2:G322,G322)=1),1,0)</f>
        <v>0</v>
      </c>
      <c r="J322">
        <f>SUM($I$2:I322)</f>
        <v>25</v>
      </c>
    </row>
    <row r="323" spans="5:10" x14ac:dyDescent="0.25">
      <c r="E323" s="4"/>
      <c r="F323" s="4"/>
      <c r="G323" t="str">
        <f t="shared" si="10"/>
        <v/>
      </c>
      <c r="H323" t="str">
        <f t="shared" si="11"/>
        <v/>
      </c>
      <c r="I323">
        <f>IF(AND(H323&gt;1,COUNTIF($G$2:G323,G323)=1),1,0)</f>
        <v>0</v>
      </c>
      <c r="J323">
        <f>SUM($I$2:I323)</f>
        <v>25</v>
      </c>
    </row>
    <row r="324" spans="5:10" x14ac:dyDescent="0.25">
      <c r="E324" s="4"/>
      <c r="F324" s="4"/>
      <c r="G324" t="str">
        <f t="shared" si="10"/>
        <v/>
      </c>
      <c r="H324" t="str">
        <f t="shared" si="11"/>
        <v/>
      </c>
      <c r="I324">
        <f>IF(AND(H324&gt;1,COUNTIF($G$2:G324,G324)=1),1,0)</f>
        <v>0</v>
      </c>
      <c r="J324">
        <f>SUM($I$2:I324)</f>
        <v>25</v>
      </c>
    </row>
    <row r="325" spans="5:10" x14ac:dyDescent="0.25">
      <c r="E325" s="4"/>
      <c r="F325" s="4"/>
      <c r="G325" t="str">
        <f t="shared" si="10"/>
        <v/>
      </c>
      <c r="H325" t="str">
        <f t="shared" si="11"/>
        <v/>
      </c>
      <c r="I325">
        <f>IF(AND(H325&gt;1,COUNTIF($G$2:G325,G325)=1),1,0)</f>
        <v>0</v>
      </c>
      <c r="J325">
        <f>SUM($I$2:I325)</f>
        <v>25</v>
      </c>
    </row>
    <row r="326" spans="5:10" x14ac:dyDescent="0.25">
      <c r="E326" s="4"/>
      <c r="F326" s="4"/>
      <c r="G326" t="str">
        <f t="shared" si="10"/>
        <v/>
      </c>
      <c r="H326" t="str">
        <f t="shared" si="11"/>
        <v/>
      </c>
      <c r="I326">
        <f>IF(AND(H326&gt;1,COUNTIF($G$2:G326,G326)=1),1,0)</f>
        <v>0</v>
      </c>
      <c r="J326">
        <f>SUM($I$2:I326)</f>
        <v>25</v>
      </c>
    </row>
    <row r="327" spans="5:10" x14ac:dyDescent="0.25">
      <c r="E327" s="4"/>
      <c r="F327" s="4"/>
      <c r="G327" t="str">
        <f t="shared" si="10"/>
        <v/>
      </c>
      <c r="H327" t="str">
        <f t="shared" si="11"/>
        <v/>
      </c>
      <c r="I327">
        <f>IF(AND(H327&gt;1,COUNTIF($G$2:G327,G327)=1),1,0)</f>
        <v>0</v>
      </c>
      <c r="J327">
        <f>SUM($I$2:I327)</f>
        <v>25</v>
      </c>
    </row>
    <row r="328" spans="5:10" x14ac:dyDescent="0.25">
      <c r="E328" s="4"/>
      <c r="F328" s="4"/>
      <c r="G328" t="str">
        <f t="shared" si="10"/>
        <v/>
      </c>
      <c r="H328" t="str">
        <f t="shared" si="11"/>
        <v/>
      </c>
      <c r="I328">
        <f>IF(AND(H328&gt;1,COUNTIF($G$2:G328,G328)=1),1,0)</f>
        <v>0</v>
      </c>
      <c r="J328">
        <f>SUM($I$2:I328)</f>
        <v>25</v>
      </c>
    </row>
    <row r="329" spans="5:10" x14ac:dyDescent="0.25">
      <c r="E329" s="4"/>
      <c r="F329" s="4"/>
      <c r="G329" t="str">
        <f t="shared" si="10"/>
        <v/>
      </c>
      <c r="H329" t="str">
        <f t="shared" si="11"/>
        <v/>
      </c>
      <c r="I329">
        <f>IF(AND(H329&gt;1,COUNTIF($G$2:G329,G329)=1),1,0)</f>
        <v>0</v>
      </c>
      <c r="J329">
        <f>SUM($I$2:I329)</f>
        <v>25</v>
      </c>
    </row>
    <row r="330" spans="5:10" x14ac:dyDescent="0.25">
      <c r="E330" s="4"/>
      <c r="F330" s="4"/>
      <c r="G330" t="str">
        <f t="shared" si="10"/>
        <v/>
      </c>
      <c r="H330" t="str">
        <f t="shared" si="11"/>
        <v/>
      </c>
      <c r="I330">
        <f>IF(AND(H330&gt;1,COUNTIF($G$2:G330,G330)=1),1,0)</f>
        <v>0</v>
      </c>
      <c r="J330">
        <f>SUM($I$2:I330)</f>
        <v>25</v>
      </c>
    </row>
    <row r="331" spans="5:10" x14ac:dyDescent="0.25">
      <c r="E331" s="4"/>
      <c r="F331" s="4"/>
      <c r="G331" t="str">
        <f t="shared" si="10"/>
        <v/>
      </c>
      <c r="H331" t="str">
        <f t="shared" si="11"/>
        <v/>
      </c>
      <c r="I331">
        <f>IF(AND(H331&gt;1,COUNTIF($G$2:G331,G331)=1),1,0)</f>
        <v>0</v>
      </c>
      <c r="J331">
        <f>SUM($I$2:I331)</f>
        <v>25</v>
      </c>
    </row>
    <row r="332" spans="5:10" x14ac:dyDescent="0.25">
      <c r="E332" s="4"/>
      <c r="F332" s="4"/>
      <c r="G332" t="str">
        <f t="shared" si="10"/>
        <v/>
      </c>
      <c r="H332" t="str">
        <f t="shared" si="11"/>
        <v/>
      </c>
      <c r="I332">
        <f>IF(AND(H332&gt;1,COUNTIF($G$2:G332,G332)=1),1,0)</f>
        <v>0</v>
      </c>
      <c r="J332">
        <f>SUM($I$2:I332)</f>
        <v>25</v>
      </c>
    </row>
    <row r="333" spans="5:10" x14ac:dyDescent="0.25">
      <c r="E333" s="4"/>
      <c r="F333" s="4"/>
      <c r="G333" t="str">
        <f t="shared" si="10"/>
        <v/>
      </c>
      <c r="H333" t="str">
        <f t="shared" si="11"/>
        <v/>
      </c>
      <c r="I333">
        <f>IF(AND(H333&gt;1,COUNTIF($G$2:G333,G333)=1),1,0)</f>
        <v>0</v>
      </c>
      <c r="J333">
        <f>SUM($I$2:I333)</f>
        <v>25</v>
      </c>
    </row>
    <row r="334" spans="5:10" x14ac:dyDescent="0.25">
      <c r="E334" s="4"/>
      <c r="F334" s="4"/>
      <c r="G334" t="str">
        <f t="shared" si="10"/>
        <v/>
      </c>
      <c r="H334" t="str">
        <f t="shared" si="11"/>
        <v/>
      </c>
      <c r="I334">
        <f>IF(AND(H334&gt;1,COUNTIF($G$2:G334,G334)=1),1,0)</f>
        <v>0</v>
      </c>
      <c r="J334">
        <f>SUM($I$2:I334)</f>
        <v>25</v>
      </c>
    </row>
    <row r="335" spans="5:10" x14ac:dyDescent="0.25">
      <c r="E335" s="4"/>
      <c r="F335" s="4"/>
      <c r="G335" t="str">
        <f t="shared" si="10"/>
        <v/>
      </c>
      <c r="H335" t="str">
        <f t="shared" si="11"/>
        <v/>
      </c>
      <c r="I335">
        <f>IF(AND(H335&gt;1,COUNTIF($G$2:G335,G335)=1),1,0)</f>
        <v>0</v>
      </c>
      <c r="J335">
        <f>SUM($I$2:I335)</f>
        <v>25</v>
      </c>
    </row>
    <row r="336" spans="5:10" x14ac:dyDescent="0.25">
      <c r="E336" s="4"/>
      <c r="F336" s="4"/>
      <c r="G336" t="str">
        <f t="shared" si="10"/>
        <v/>
      </c>
      <c r="H336" t="str">
        <f t="shared" si="11"/>
        <v/>
      </c>
      <c r="I336">
        <f>IF(AND(H336&gt;1,COUNTIF($G$2:G336,G336)=1),1,0)</f>
        <v>0</v>
      </c>
      <c r="J336">
        <f>SUM($I$2:I336)</f>
        <v>25</v>
      </c>
    </row>
    <row r="337" spans="5:10" x14ac:dyDescent="0.25">
      <c r="E337" s="4"/>
      <c r="F337" s="4"/>
      <c r="G337" t="str">
        <f t="shared" si="10"/>
        <v/>
      </c>
      <c r="H337" t="str">
        <f t="shared" si="11"/>
        <v/>
      </c>
      <c r="I337">
        <f>IF(AND(H337&gt;1,COUNTIF($G$2:G337,G337)=1),1,0)</f>
        <v>0</v>
      </c>
      <c r="J337">
        <f>SUM($I$2:I337)</f>
        <v>25</v>
      </c>
    </row>
    <row r="338" spans="5:10" x14ac:dyDescent="0.25">
      <c r="E338" s="4"/>
      <c r="F338" s="4"/>
      <c r="G338" t="str">
        <f t="shared" si="10"/>
        <v/>
      </c>
      <c r="H338" t="str">
        <f t="shared" si="11"/>
        <v/>
      </c>
      <c r="I338">
        <f>IF(AND(H338&gt;1,COUNTIF($G$2:G338,G338)=1),1,0)</f>
        <v>0</v>
      </c>
      <c r="J338">
        <f>SUM($I$2:I338)</f>
        <v>25</v>
      </c>
    </row>
    <row r="339" spans="5:10" x14ac:dyDescent="0.25">
      <c r="E339" s="4"/>
      <c r="F339" s="4"/>
      <c r="G339" t="str">
        <f t="shared" si="10"/>
        <v/>
      </c>
      <c r="H339" t="str">
        <f t="shared" si="11"/>
        <v/>
      </c>
      <c r="I339">
        <f>IF(AND(H339&gt;1,COUNTIF($G$2:G339,G339)=1),1,0)</f>
        <v>0</v>
      </c>
      <c r="J339">
        <f>SUM($I$2:I339)</f>
        <v>25</v>
      </c>
    </row>
    <row r="340" spans="5:10" x14ac:dyDescent="0.25">
      <c r="E340" s="4"/>
      <c r="F340" s="4"/>
      <c r="G340" t="str">
        <f t="shared" si="10"/>
        <v/>
      </c>
      <c r="H340" t="str">
        <f t="shared" si="11"/>
        <v/>
      </c>
      <c r="I340">
        <f>IF(AND(H340&gt;1,COUNTIF($G$2:G340,G340)=1),1,0)</f>
        <v>0</v>
      </c>
      <c r="J340">
        <f>SUM($I$2:I340)</f>
        <v>25</v>
      </c>
    </row>
    <row r="341" spans="5:10" x14ac:dyDescent="0.25">
      <c r="E341" s="4"/>
      <c r="F341" s="4"/>
      <c r="G341" t="str">
        <f t="shared" si="10"/>
        <v/>
      </c>
      <c r="H341" t="str">
        <f t="shared" si="11"/>
        <v/>
      </c>
      <c r="I341">
        <f>IF(AND(H341&gt;1,COUNTIF($G$2:G341,G341)=1),1,0)</f>
        <v>0</v>
      </c>
      <c r="J341">
        <f>SUM($I$2:I341)</f>
        <v>25</v>
      </c>
    </row>
    <row r="342" spans="5:10" x14ac:dyDescent="0.25">
      <c r="E342" s="4"/>
      <c r="F342" s="4"/>
      <c r="G342" t="str">
        <f t="shared" si="10"/>
        <v/>
      </c>
      <c r="H342" t="str">
        <f t="shared" si="11"/>
        <v/>
      </c>
      <c r="I342">
        <f>IF(AND(H342&gt;1,COUNTIF($G$2:G342,G342)=1),1,0)</f>
        <v>0</v>
      </c>
      <c r="J342">
        <f>SUM($I$2:I342)</f>
        <v>25</v>
      </c>
    </row>
    <row r="343" spans="5:10" x14ac:dyDescent="0.25">
      <c r="E343" s="4"/>
      <c r="F343" s="4"/>
      <c r="G343" t="str">
        <f t="shared" si="10"/>
        <v/>
      </c>
      <c r="H343" t="str">
        <f t="shared" si="11"/>
        <v/>
      </c>
      <c r="I343">
        <f>IF(AND(H343&gt;1,COUNTIF($G$2:G343,G343)=1),1,0)</f>
        <v>0</v>
      </c>
      <c r="J343">
        <f>SUM($I$2:I343)</f>
        <v>25</v>
      </c>
    </row>
    <row r="344" spans="5:10" x14ac:dyDescent="0.25">
      <c r="E344" s="4"/>
      <c r="F344" s="4"/>
      <c r="G344" t="str">
        <f t="shared" si="10"/>
        <v/>
      </c>
      <c r="H344" t="str">
        <f t="shared" si="11"/>
        <v/>
      </c>
      <c r="I344">
        <f>IF(AND(H344&gt;1,COUNTIF($G$2:G344,G344)=1),1,0)</f>
        <v>0</v>
      </c>
      <c r="J344">
        <f>SUM($I$2:I344)</f>
        <v>25</v>
      </c>
    </row>
    <row r="345" spans="5:10" x14ac:dyDescent="0.25">
      <c r="E345" s="4"/>
      <c r="F345" s="4"/>
      <c r="G345" t="str">
        <f t="shared" si="10"/>
        <v/>
      </c>
      <c r="H345" t="str">
        <f t="shared" si="11"/>
        <v/>
      </c>
      <c r="I345">
        <f>IF(AND(H345&gt;1,COUNTIF($G$2:G345,G345)=1),1,0)</f>
        <v>0</v>
      </c>
      <c r="J345">
        <f>SUM($I$2:I345)</f>
        <v>25</v>
      </c>
    </row>
    <row r="346" spans="5:10" x14ac:dyDescent="0.25">
      <c r="E346" s="4"/>
      <c r="F346" s="4"/>
      <c r="G346" t="str">
        <f t="shared" si="10"/>
        <v/>
      </c>
      <c r="H346" t="str">
        <f t="shared" si="11"/>
        <v/>
      </c>
      <c r="I346">
        <f>IF(AND(H346&gt;1,COUNTIF($G$2:G346,G346)=1),1,0)</f>
        <v>0</v>
      </c>
      <c r="J346">
        <f>SUM($I$2:I346)</f>
        <v>25</v>
      </c>
    </row>
    <row r="347" spans="5:10" x14ac:dyDescent="0.25">
      <c r="E347" s="4"/>
      <c r="F347" s="4"/>
      <c r="G347" t="str">
        <f t="shared" si="10"/>
        <v/>
      </c>
      <c r="H347" t="str">
        <f t="shared" si="11"/>
        <v/>
      </c>
      <c r="I347">
        <f>IF(AND(H347&gt;1,COUNTIF($G$2:G347,G347)=1),1,0)</f>
        <v>0</v>
      </c>
      <c r="J347">
        <f>SUM($I$2:I347)</f>
        <v>25</v>
      </c>
    </row>
    <row r="348" spans="5:10" x14ac:dyDescent="0.25">
      <c r="E348" s="4"/>
      <c r="F348" s="4"/>
      <c r="G348" t="str">
        <f t="shared" si="10"/>
        <v/>
      </c>
      <c r="H348" t="str">
        <f t="shared" si="11"/>
        <v/>
      </c>
      <c r="I348">
        <f>IF(AND(H348&gt;1,COUNTIF($G$2:G348,G348)=1),1,0)</f>
        <v>0</v>
      </c>
      <c r="J348">
        <f>SUM($I$2:I348)</f>
        <v>25</v>
      </c>
    </row>
    <row r="349" spans="5:10" x14ac:dyDescent="0.25">
      <c r="E349" s="4"/>
      <c r="F349" s="4"/>
      <c r="G349" t="str">
        <f t="shared" si="10"/>
        <v/>
      </c>
      <c r="H349" t="str">
        <f t="shared" si="11"/>
        <v/>
      </c>
      <c r="I349">
        <f>IF(AND(H349&gt;1,COUNTIF($G$2:G349,G349)=1),1,0)</f>
        <v>0</v>
      </c>
      <c r="J349">
        <f>SUM($I$2:I349)</f>
        <v>25</v>
      </c>
    </row>
    <row r="350" spans="5:10" x14ac:dyDescent="0.25">
      <c r="E350" s="4"/>
      <c r="F350" s="4"/>
      <c r="G350" t="str">
        <f t="shared" si="10"/>
        <v/>
      </c>
      <c r="H350" t="str">
        <f t="shared" si="11"/>
        <v/>
      </c>
      <c r="I350">
        <f>IF(AND(H350&gt;1,COUNTIF($G$2:G350,G350)=1),1,0)</f>
        <v>0</v>
      </c>
      <c r="J350">
        <f>SUM($I$2:I350)</f>
        <v>25</v>
      </c>
    </row>
    <row r="351" spans="5:10" x14ac:dyDescent="0.25">
      <c r="E351" s="4"/>
      <c r="F351" s="4"/>
      <c r="G351" t="str">
        <f t="shared" si="10"/>
        <v/>
      </c>
      <c r="H351" t="str">
        <f t="shared" si="11"/>
        <v/>
      </c>
      <c r="I351">
        <f>IF(AND(H351&gt;1,COUNTIF($G$2:G351,G351)=1),1,0)</f>
        <v>0</v>
      </c>
      <c r="J351">
        <f>SUM($I$2:I351)</f>
        <v>25</v>
      </c>
    </row>
    <row r="352" spans="5:10" x14ac:dyDescent="0.25">
      <c r="E352" s="4"/>
      <c r="F352" s="4"/>
      <c r="G352" t="str">
        <f t="shared" si="10"/>
        <v/>
      </c>
      <c r="H352" t="str">
        <f t="shared" si="11"/>
        <v/>
      </c>
      <c r="I352">
        <f>IF(AND(H352&gt;1,COUNTIF($G$2:G352,G352)=1),1,0)</f>
        <v>0</v>
      </c>
      <c r="J352">
        <f>SUM($I$2:I352)</f>
        <v>25</v>
      </c>
    </row>
    <row r="353" spans="5:10" x14ac:dyDescent="0.25">
      <c r="E353" s="4"/>
      <c r="F353" s="4"/>
      <c r="G353" t="str">
        <f t="shared" si="10"/>
        <v/>
      </c>
      <c r="H353" t="str">
        <f t="shared" si="11"/>
        <v/>
      </c>
      <c r="I353">
        <f>IF(AND(H353&gt;1,COUNTIF($G$2:G353,G353)=1),1,0)</f>
        <v>0</v>
      </c>
      <c r="J353">
        <f>SUM($I$2:I353)</f>
        <v>25</v>
      </c>
    </row>
    <row r="354" spans="5:10" x14ac:dyDescent="0.25">
      <c r="E354" s="4"/>
      <c r="F354" s="4"/>
      <c r="G354" t="str">
        <f t="shared" si="10"/>
        <v/>
      </c>
      <c r="H354" t="str">
        <f t="shared" si="11"/>
        <v/>
      </c>
      <c r="I354">
        <f>IF(AND(H354&gt;1,COUNTIF($G$2:G354,G354)=1),1,0)</f>
        <v>0</v>
      </c>
      <c r="J354">
        <f>SUM($I$2:I354)</f>
        <v>25</v>
      </c>
    </row>
    <row r="355" spans="5:10" x14ac:dyDescent="0.25">
      <c r="E355" s="4"/>
      <c r="F355" s="4"/>
      <c r="G355" t="str">
        <f t="shared" si="10"/>
        <v/>
      </c>
      <c r="H355" t="str">
        <f t="shared" si="11"/>
        <v/>
      </c>
      <c r="I355">
        <f>IF(AND(H355&gt;1,COUNTIF($G$2:G355,G355)=1),1,0)</f>
        <v>0</v>
      </c>
      <c r="J355">
        <f>SUM($I$2:I355)</f>
        <v>25</v>
      </c>
    </row>
    <row r="356" spans="5:10" x14ac:dyDescent="0.25">
      <c r="E356" s="4"/>
      <c r="F356" s="4"/>
      <c r="G356" t="str">
        <f t="shared" si="10"/>
        <v/>
      </c>
      <c r="H356" t="str">
        <f t="shared" si="11"/>
        <v/>
      </c>
      <c r="I356">
        <f>IF(AND(H356&gt;1,COUNTIF($G$2:G356,G356)=1),1,0)</f>
        <v>0</v>
      </c>
      <c r="J356">
        <f>SUM($I$2:I356)</f>
        <v>25</v>
      </c>
    </row>
    <row r="357" spans="5:10" x14ac:dyDescent="0.25">
      <c r="E357" s="4"/>
      <c r="F357" s="4"/>
      <c r="G357" t="str">
        <f t="shared" si="10"/>
        <v/>
      </c>
      <c r="H357" t="str">
        <f t="shared" si="11"/>
        <v/>
      </c>
      <c r="I357">
        <f>IF(AND(H357&gt;1,COUNTIF($G$2:G357,G357)=1),1,0)</f>
        <v>0</v>
      </c>
      <c r="J357">
        <f>SUM($I$2:I357)</f>
        <v>25</v>
      </c>
    </row>
    <row r="358" spans="5:10" x14ac:dyDescent="0.25">
      <c r="E358" s="4"/>
      <c r="F358" s="4"/>
      <c r="G358" t="str">
        <f t="shared" si="10"/>
        <v/>
      </c>
      <c r="H358" t="str">
        <f t="shared" si="11"/>
        <v/>
      </c>
      <c r="I358">
        <f>IF(AND(H358&gt;1,COUNTIF($G$2:G358,G358)=1),1,0)</f>
        <v>0</v>
      </c>
      <c r="J358">
        <f>SUM($I$2:I358)</f>
        <v>25</v>
      </c>
    </row>
    <row r="359" spans="5:10" x14ac:dyDescent="0.25">
      <c r="E359" s="4"/>
      <c r="F359" s="4"/>
      <c r="G359" t="str">
        <f t="shared" si="10"/>
        <v/>
      </c>
      <c r="H359" t="str">
        <f t="shared" si="11"/>
        <v/>
      </c>
      <c r="I359">
        <f>IF(AND(H359&gt;1,COUNTIF($G$2:G359,G359)=1),1,0)</f>
        <v>0</v>
      </c>
      <c r="J359">
        <f>SUM($I$2:I359)</f>
        <v>25</v>
      </c>
    </row>
    <row r="360" spans="5:10" x14ac:dyDescent="0.25">
      <c r="E360" s="4"/>
      <c r="F360" s="4"/>
      <c r="G360" t="str">
        <f t="shared" si="10"/>
        <v/>
      </c>
      <c r="H360" t="str">
        <f t="shared" si="11"/>
        <v/>
      </c>
      <c r="I360">
        <f>IF(AND(H360&gt;1,COUNTIF($G$2:G360,G360)=1),1,0)</f>
        <v>0</v>
      </c>
      <c r="J360">
        <f>SUM($I$2:I360)</f>
        <v>25</v>
      </c>
    </row>
    <row r="361" spans="5:10" x14ac:dyDescent="0.25">
      <c r="E361" s="4"/>
      <c r="F361" s="4"/>
      <c r="G361" t="str">
        <f t="shared" si="10"/>
        <v/>
      </c>
      <c r="H361" t="str">
        <f t="shared" si="11"/>
        <v/>
      </c>
      <c r="I361">
        <f>IF(AND(H361&gt;1,COUNTIF($G$2:G361,G361)=1),1,0)</f>
        <v>0</v>
      </c>
      <c r="J361">
        <f>SUM($I$2:I361)</f>
        <v>25</v>
      </c>
    </row>
    <row r="362" spans="5:10" x14ac:dyDescent="0.25">
      <c r="E362" s="4"/>
      <c r="F362" s="4"/>
      <c r="G362" t="str">
        <f t="shared" si="10"/>
        <v/>
      </c>
      <c r="H362" t="str">
        <f t="shared" si="11"/>
        <v/>
      </c>
      <c r="I362">
        <f>IF(AND(H362&gt;1,COUNTIF($G$2:G362,G362)=1),1,0)</f>
        <v>0</v>
      </c>
      <c r="J362">
        <f>SUM($I$2:I362)</f>
        <v>25</v>
      </c>
    </row>
    <row r="363" spans="5:10" x14ac:dyDescent="0.25">
      <c r="E363" s="4"/>
      <c r="F363" s="4"/>
      <c r="G363" t="str">
        <f t="shared" si="10"/>
        <v/>
      </c>
      <c r="H363" t="str">
        <f t="shared" si="11"/>
        <v/>
      </c>
      <c r="I363">
        <f>IF(AND(H363&gt;1,COUNTIF($G$2:G363,G363)=1),1,0)</f>
        <v>0</v>
      </c>
      <c r="J363">
        <f>SUM($I$2:I363)</f>
        <v>25</v>
      </c>
    </row>
    <row r="364" spans="5:10" x14ac:dyDescent="0.25">
      <c r="E364" s="4"/>
      <c r="F364" s="4"/>
      <c r="G364" t="str">
        <f t="shared" si="10"/>
        <v/>
      </c>
      <c r="H364" t="str">
        <f t="shared" si="11"/>
        <v/>
      </c>
      <c r="I364">
        <f>IF(AND(H364&gt;1,COUNTIF($G$2:G364,G364)=1),1,0)</f>
        <v>0</v>
      </c>
      <c r="J364">
        <f>SUM($I$2:I364)</f>
        <v>25</v>
      </c>
    </row>
    <row r="365" spans="5:10" x14ac:dyDescent="0.25">
      <c r="E365" s="4"/>
      <c r="F365" s="4"/>
      <c r="G365" t="str">
        <f t="shared" si="10"/>
        <v/>
      </c>
      <c r="H365" t="str">
        <f t="shared" si="11"/>
        <v/>
      </c>
      <c r="I365">
        <f>IF(AND(H365&gt;1,COUNTIF($G$2:G365,G365)=1),1,0)</f>
        <v>0</v>
      </c>
      <c r="J365">
        <f>SUM($I$2:I365)</f>
        <v>25</v>
      </c>
    </row>
    <row r="366" spans="5:10" x14ac:dyDescent="0.25">
      <c r="E366" s="4"/>
      <c r="F366" s="4"/>
      <c r="G366" t="str">
        <f t="shared" si="10"/>
        <v/>
      </c>
      <c r="H366" t="str">
        <f t="shared" si="11"/>
        <v/>
      </c>
      <c r="I366">
        <f>IF(AND(H366&gt;1,COUNTIF($G$2:G366,G366)=1),1,0)</f>
        <v>0</v>
      </c>
      <c r="J366">
        <f>SUM($I$2:I366)</f>
        <v>25</v>
      </c>
    </row>
    <row r="367" spans="5:10" x14ac:dyDescent="0.25">
      <c r="E367" s="4"/>
      <c r="F367" s="4"/>
      <c r="G367" t="str">
        <f t="shared" si="10"/>
        <v/>
      </c>
      <c r="H367" t="str">
        <f t="shared" si="11"/>
        <v/>
      </c>
      <c r="I367">
        <f>IF(AND(H367&gt;1,COUNTIF($G$2:G367,G367)=1),1,0)</f>
        <v>0</v>
      </c>
      <c r="J367">
        <f>SUM($I$2:I367)</f>
        <v>25</v>
      </c>
    </row>
    <row r="368" spans="5:10" x14ac:dyDescent="0.25">
      <c r="E368" s="4"/>
      <c r="F368" s="4"/>
      <c r="G368" t="str">
        <f t="shared" si="10"/>
        <v/>
      </c>
      <c r="H368" t="str">
        <f t="shared" si="11"/>
        <v/>
      </c>
      <c r="I368">
        <f>IF(AND(H368&gt;1,COUNTIF($G$2:G368,G368)=1),1,0)</f>
        <v>0</v>
      </c>
      <c r="J368">
        <f>SUM($I$2:I368)</f>
        <v>25</v>
      </c>
    </row>
    <row r="369" spans="5:10" x14ac:dyDescent="0.25">
      <c r="E369" s="4"/>
      <c r="F369" s="4"/>
      <c r="G369" t="str">
        <f t="shared" si="10"/>
        <v/>
      </c>
      <c r="H369" t="str">
        <f t="shared" si="11"/>
        <v/>
      </c>
      <c r="I369">
        <f>IF(AND(H369&gt;1,COUNTIF($G$2:G369,G369)=1),1,0)</f>
        <v>0</v>
      </c>
      <c r="J369">
        <f>SUM($I$2:I369)</f>
        <v>25</v>
      </c>
    </row>
    <row r="370" spans="5:10" x14ac:dyDescent="0.25">
      <c r="E370" s="4"/>
      <c r="F370" s="4"/>
      <c r="G370" t="str">
        <f t="shared" si="10"/>
        <v/>
      </c>
      <c r="H370" t="str">
        <f t="shared" si="11"/>
        <v/>
      </c>
      <c r="I370">
        <f>IF(AND(H370&gt;1,COUNTIF($G$2:G370,G370)=1),1,0)</f>
        <v>0</v>
      </c>
      <c r="J370">
        <f>SUM($I$2:I370)</f>
        <v>25</v>
      </c>
    </row>
    <row r="371" spans="5:10" x14ac:dyDescent="0.25">
      <c r="E371" s="4"/>
      <c r="F371" s="4"/>
      <c r="G371" t="str">
        <f t="shared" si="10"/>
        <v/>
      </c>
      <c r="H371" t="str">
        <f t="shared" si="11"/>
        <v/>
      </c>
      <c r="I371">
        <f>IF(AND(H371&gt;1,COUNTIF($G$2:G371,G371)=1),1,0)</f>
        <v>0</v>
      </c>
      <c r="J371">
        <f>SUM($I$2:I371)</f>
        <v>25</v>
      </c>
    </row>
    <row r="372" spans="5:10" x14ac:dyDescent="0.25">
      <c r="E372" s="4"/>
      <c r="F372" s="4"/>
      <c r="G372" t="str">
        <f t="shared" si="10"/>
        <v/>
      </c>
      <c r="H372" t="str">
        <f t="shared" si="11"/>
        <v/>
      </c>
      <c r="I372">
        <f>IF(AND(H372&gt;1,COUNTIF($G$2:G372,G372)=1),1,0)</f>
        <v>0</v>
      </c>
      <c r="J372">
        <f>SUM($I$2:I372)</f>
        <v>25</v>
      </c>
    </row>
    <row r="373" spans="5:10" x14ac:dyDescent="0.25">
      <c r="E373" s="4"/>
      <c r="F373" s="4"/>
      <c r="G373" t="str">
        <f t="shared" si="10"/>
        <v/>
      </c>
      <c r="H373" t="str">
        <f t="shared" si="11"/>
        <v/>
      </c>
      <c r="I373">
        <f>IF(AND(H373&gt;1,COUNTIF($G$2:G373,G373)=1),1,0)</f>
        <v>0</v>
      </c>
      <c r="J373">
        <f>SUM($I$2:I373)</f>
        <v>25</v>
      </c>
    </row>
    <row r="374" spans="5:10" x14ac:dyDescent="0.25">
      <c r="E374" s="4"/>
      <c r="F374" s="4"/>
      <c r="G374" t="str">
        <f t="shared" si="10"/>
        <v/>
      </c>
      <c r="H374" t="str">
        <f t="shared" si="11"/>
        <v/>
      </c>
      <c r="I374">
        <f>IF(AND(H374&gt;1,COUNTIF($G$2:G374,G374)=1),1,0)</f>
        <v>0</v>
      </c>
      <c r="J374">
        <f>SUM($I$2:I374)</f>
        <v>25</v>
      </c>
    </row>
    <row r="375" spans="5:10" x14ac:dyDescent="0.25">
      <c r="E375" s="4"/>
      <c r="F375" s="4"/>
      <c r="G375" t="str">
        <f t="shared" si="10"/>
        <v/>
      </c>
      <c r="H375" t="str">
        <f t="shared" si="11"/>
        <v/>
      </c>
      <c r="I375">
        <f>IF(AND(H375&gt;1,COUNTIF($G$2:G375,G375)=1),1,0)</f>
        <v>0</v>
      </c>
      <c r="J375">
        <f>SUM($I$2:I375)</f>
        <v>25</v>
      </c>
    </row>
    <row r="376" spans="5:10" x14ac:dyDescent="0.25">
      <c r="E376" s="4"/>
      <c r="F376" s="4"/>
      <c r="G376" t="str">
        <f t="shared" si="10"/>
        <v/>
      </c>
      <c r="H376" t="str">
        <f t="shared" si="11"/>
        <v/>
      </c>
      <c r="I376">
        <f>IF(AND(H376&gt;1,COUNTIF($G$2:G376,G376)=1),1,0)</f>
        <v>0</v>
      </c>
      <c r="J376">
        <f>SUM($I$2:I376)</f>
        <v>25</v>
      </c>
    </row>
    <row r="377" spans="5:10" x14ac:dyDescent="0.25">
      <c r="E377" s="4"/>
      <c r="F377" s="4"/>
      <c r="G377" t="str">
        <f t="shared" si="10"/>
        <v/>
      </c>
      <c r="H377" t="str">
        <f t="shared" si="11"/>
        <v/>
      </c>
      <c r="I377">
        <f>IF(AND(H377&gt;1,COUNTIF($G$2:G377,G377)=1),1,0)</f>
        <v>0</v>
      </c>
      <c r="J377">
        <f>SUM($I$2:I377)</f>
        <v>25</v>
      </c>
    </row>
    <row r="378" spans="5:10" x14ac:dyDescent="0.25">
      <c r="E378" s="4"/>
      <c r="F378" s="4"/>
      <c r="G378" t="str">
        <f t="shared" si="10"/>
        <v/>
      </c>
      <c r="H378" t="str">
        <f t="shared" si="11"/>
        <v/>
      </c>
      <c r="I378">
        <f>IF(AND(H378&gt;1,COUNTIF($G$2:G378,G378)=1),1,0)</f>
        <v>0</v>
      </c>
      <c r="J378">
        <f>SUM($I$2:I378)</f>
        <v>25</v>
      </c>
    </row>
    <row r="379" spans="5:10" x14ac:dyDescent="0.25">
      <c r="E379" s="4"/>
      <c r="F379" s="4"/>
      <c r="G379" t="str">
        <f t="shared" si="10"/>
        <v/>
      </c>
      <c r="H379" t="str">
        <f t="shared" si="11"/>
        <v/>
      </c>
      <c r="I379">
        <f>IF(AND(H379&gt;1,COUNTIF($G$2:G379,G379)=1),1,0)</f>
        <v>0</v>
      </c>
      <c r="J379">
        <f>SUM($I$2:I379)</f>
        <v>25</v>
      </c>
    </row>
    <row r="380" spans="5:10" x14ac:dyDescent="0.25">
      <c r="E380" s="4"/>
      <c r="F380" s="4"/>
      <c r="G380" t="str">
        <f t="shared" si="10"/>
        <v/>
      </c>
      <c r="H380" t="str">
        <f t="shared" si="11"/>
        <v/>
      </c>
      <c r="I380">
        <f>IF(AND(H380&gt;1,COUNTIF($G$2:G380,G380)=1),1,0)</f>
        <v>0</v>
      </c>
      <c r="J380">
        <f>SUM($I$2:I380)</f>
        <v>25</v>
      </c>
    </row>
    <row r="381" spans="5:10" x14ac:dyDescent="0.25">
      <c r="E381" s="4"/>
      <c r="F381" s="4"/>
      <c r="G381" t="str">
        <f t="shared" si="10"/>
        <v/>
      </c>
      <c r="H381" t="str">
        <f t="shared" si="11"/>
        <v/>
      </c>
      <c r="I381">
        <f>IF(AND(H381&gt;1,COUNTIF($G$2:G381,G381)=1),1,0)</f>
        <v>0</v>
      </c>
      <c r="J381">
        <f>SUM($I$2:I381)</f>
        <v>25</v>
      </c>
    </row>
    <row r="382" spans="5:10" x14ac:dyDescent="0.25">
      <c r="E382" s="4"/>
      <c r="F382" s="4"/>
      <c r="G382" t="str">
        <f t="shared" si="10"/>
        <v/>
      </c>
      <c r="H382" t="str">
        <f t="shared" si="11"/>
        <v/>
      </c>
      <c r="I382">
        <f>IF(AND(H382&gt;1,COUNTIF($G$2:G382,G382)=1),1,0)</f>
        <v>0</v>
      </c>
      <c r="J382">
        <f>SUM($I$2:I382)</f>
        <v>25</v>
      </c>
    </row>
    <row r="383" spans="5:10" x14ac:dyDescent="0.25">
      <c r="E383" s="4"/>
      <c r="F383" s="4"/>
      <c r="G383" t="str">
        <f t="shared" si="10"/>
        <v/>
      </c>
      <c r="H383" t="str">
        <f t="shared" si="11"/>
        <v/>
      </c>
      <c r="I383">
        <f>IF(AND(H383&gt;1,COUNTIF($G$2:G383,G383)=1),1,0)</f>
        <v>0</v>
      </c>
      <c r="J383">
        <f>SUM($I$2:I383)</f>
        <v>25</v>
      </c>
    </row>
    <row r="384" spans="5:10" x14ac:dyDescent="0.25">
      <c r="E384" s="4"/>
      <c r="F384" s="4"/>
      <c r="G384" t="str">
        <f t="shared" si="10"/>
        <v/>
      </c>
      <c r="H384" t="str">
        <f t="shared" si="11"/>
        <v/>
      </c>
      <c r="I384">
        <f>IF(AND(H384&gt;1,COUNTIF($G$2:G384,G384)=1),1,0)</f>
        <v>0</v>
      </c>
      <c r="J384">
        <f>SUM($I$2:I384)</f>
        <v>25</v>
      </c>
    </row>
    <row r="385" spans="5:10" x14ac:dyDescent="0.25">
      <c r="E385" s="4"/>
      <c r="F385" s="4"/>
      <c r="G385" t="str">
        <f t="shared" si="10"/>
        <v/>
      </c>
      <c r="H385" t="str">
        <f t="shared" si="11"/>
        <v/>
      </c>
      <c r="I385">
        <f>IF(AND(H385&gt;1,COUNTIF($G$2:G385,G385)=1),1,0)</f>
        <v>0</v>
      </c>
      <c r="J385">
        <f>SUM($I$2:I385)</f>
        <v>25</v>
      </c>
    </row>
    <row r="386" spans="5:10" x14ac:dyDescent="0.25">
      <c r="E386" s="4"/>
      <c r="F386" s="4"/>
      <c r="G386" t="str">
        <f t="shared" ref="G386:G449" si="12">IF(OR(C386="",D386=""),"",TEXT(C386,"0.0000000")&amp;"|"&amp;TEXT(D386,"0.0000000"))</f>
        <v/>
      </c>
      <c r="H386" t="str">
        <f t="shared" ref="H386:H449" si="13">IF(G386="","",COUNTIF($G$2:$G$500,G386))</f>
        <v/>
      </c>
      <c r="I386">
        <f>IF(AND(H386&gt;1,COUNTIF($G$2:G386,G386)=1),1,0)</f>
        <v>0</v>
      </c>
      <c r="J386">
        <f>SUM($I$2:I386)</f>
        <v>25</v>
      </c>
    </row>
    <row r="387" spans="5:10" x14ac:dyDescent="0.25">
      <c r="E387" s="4"/>
      <c r="F387" s="4"/>
      <c r="G387" t="str">
        <f t="shared" si="12"/>
        <v/>
      </c>
      <c r="H387" t="str">
        <f t="shared" si="13"/>
        <v/>
      </c>
      <c r="I387">
        <f>IF(AND(H387&gt;1,COUNTIF($G$2:G387,G387)=1),1,0)</f>
        <v>0</v>
      </c>
      <c r="J387">
        <f>SUM($I$2:I387)</f>
        <v>25</v>
      </c>
    </row>
    <row r="388" spans="5:10" x14ac:dyDescent="0.25">
      <c r="E388" s="4"/>
      <c r="F388" s="4"/>
      <c r="G388" t="str">
        <f t="shared" si="12"/>
        <v/>
      </c>
      <c r="H388" t="str">
        <f t="shared" si="13"/>
        <v/>
      </c>
      <c r="I388">
        <f>IF(AND(H388&gt;1,COUNTIF($G$2:G388,G388)=1),1,0)</f>
        <v>0</v>
      </c>
      <c r="J388">
        <f>SUM($I$2:I388)</f>
        <v>25</v>
      </c>
    </row>
    <row r="389" spans="5:10" x14ac:dyDescent="0.25">
      <c r="E389" s="4"/>
      <c r="F389" s="4"/>
      <c r="G389" t="str">
        <f t="shared" si="12"/>
        <v/>
      </c>
      <c r="H389" t="str">
        <f t="shared" si="13"/>
        <v/>
      </c>
      <c r="I389">
        <f>IF(AND(H389&gt;1,COUNTIF($G$2:G389,G389)=1),1,0)</f>
        <v>0</v>
      </c>
      <c r="J389">
        <f>SUM($I$2:I389)</f>
        <v>25</v>
      </c>
    </row>
    <row r="390" spans="5:10" x14ac:dyDescent="0.25">
      <c r="E390" s="4"/>
      <c r="F390" s="4"/>
      <c r="G390" t="str">
        <f t="shared" si="12"/>
        <v/>
      </c>
      <c r="H390" t="str">
        <f t="shared" si="13"/>
        <v/>
      </c>
      <c r="I390">
        <f>IF(AND(H390&gt;1,COUNTIF($G$2:G390,G390)=1),1,0)</f>
        <v>0</v>
      </c>
      <c r="J390">
        <f>SUM($I$2:I390)</f>
        <v>25</v>
      </c>
    </row>
    <row r="391" spans="5:10" x14ac:dyDescent="0.25">
      <c r="E391" s="4"/>
      <c r="F391" s="4"/>
      <c r="G391" t="str">
        <f t="shared" si="12"/>
        <v/>
      </c>
      <c r="H391" t="str">
        <f t="shared" si="13"/>
        <v/>
      </c>
      <c r="I391">
        <f>IF(AND(H391&gt;1,COUNTIF($G$2:G391,G391)=1),1,0)</f>
        <v>0</v>
      </c>
      <c r="J391">
        <f>SUM($I$2:I391)</f>
        <v>25</v>
      </c>
    </row>
    <row r="392" spans="5:10" x14ac:dyDescent="0.25">
      <c r="E392" s="4"/>
      <c r="F392" s="4"/>
      <c r="G392" t="str">
        <f t="shared" si="12"/>
        <v/>
      </c>
      <c r="H392" t="str">
        <f t="shared" si="13"/>
        <v/>
      </c>
      <c r="I392">
        <f>IF(AND(H392&gt;1,COUNTIF($G$2:G392,G392)=1),1,0)</f>
        <v>0</v>
      </c>
      <c r="J392">
        <f>SUM($I$2:I392)</f>
        <v>25</v>
      </c>
    </row>
    <row r="393" spans="5:10" x14ac:dyDescent="0.25">
      <c r="E393" s="4"/>
      <c r="F393" s="4"/>
      <c r="G393" t="str">
        <f t="shared" si="12"/>
        <v/>
      </c>
      <c r="H393" t="str">
        <f t="shared" si="13"/>
        <v/>
      </c>
      <c r="I393">
        <f>IF(AND(H393&gt;1,COUNTIF($G$2:G393,G393)=1),1,0)</f>
        <v>0</v>
      </c>
      <c r="J393">
        <f>SUM($I$2:I393)</f>
        <v>25</v>
      </c>
    </row>
    <row r="394" spans="5:10" x14ac:dyDescent="0.25">
      <c r="E394" s="4"/>
      <c r="F394" s="4"/>
      <c r="G394" t="str">
        <f t="shared" si="12"/>
        <v/>
      </c>
      <c r="H394" t="str">
        <f t="shared" si="13"/>
        <v/>
      </c>
      <c r="I394">
        <f>IF(AND(H394&gt;1,COUNTIF($G$2:G394,G394)=1),1,0)</f>
        <v>0</v>
      </c>
      <c r="J394">
        <f>SUM($I$2:I394)</f>
        <v>25</v>
      </c>
    </row>
    <row r="395" spans="5:10" x14ac:dyDescent="0.25">
      <c r="E395" s="4"/>
      <c r="F395" s="4"/>
      <c r="G395" t="str">
        <f t="shared" si="12"/>
        <v/>
      </c>
      <c r="H395" t="str">
        <f t="shared" si="13"/>
        <v/>
      </c>
      <c r="I395">
        <f>IF(AND(H395&gt;1,COUNTIF($G$2:G395,G395)=1),1,0)</f>
        <v>0</v>
      </c>
      <c r="J395">
        <f>SUM($I$2:I395)</f>
        <v>25</v>
      </c>
    </row>
    <row r="396" spans="5:10" x14ac:dyDescent="0.25">
      <c r="E396" s="4"/>
      <c r="F396" s="4"/>
      <c r="G396" t="str">
        <f t="shared" si="12"/>
        <v/>
      </c>
      <c r="H396" t="str">
        <f t="shared" si="13"/>
        <v/>
      </c>
      <c r="I396">
        <f>IF(AND(H396&gt;1,COUNTIF($G$2:G396,G396)=1),1,0)</f>
        <v>0</v>
      </c>
      <c r="J396">
        <f>SUM($I$2:I396)</f>
        <v>25</v>
      </c>
    </row>
    <row r="397" spans="5:10" x14ac:dyDescent="0.25">
      <c r="E397" s="4"/>
      <c r="F397" s="4"/>
      <c r="G397" t="str">
        <f t="shared" si="12"/>
        <v/>
      </c>
      <c r="H397" t="str">
        <f t="shared" si="13"/>
        <v/>
      </c>
      <c r="I397">
        <f>IF(AND(H397&gt;1,COUNTIF($G$2:G397,G397)=1),1,0)</f>
        <v>0</v>
      </c>
      <c r="J397">
        <f>SUM($I$2:I397)</f>
        <v>25</v>
      </c>
    </row>
    <row r="398" spans="5:10" x14ac:dyDescent="0.25">
      <c r="E398" s="4"/>
      <c r="F398" s="4"/>
      <c r="G398" t="str">
        <f t="shared" si="12"/>
        <v/>
      </c>
      <c r="H398" t="str">
        <f t="shared" si="13"/>
        <v/>
      </c>
      <c r="I398">
        <f>IF(AND(H398&gt;1,COUNTIF($G$2:G398,G398)=1),1,0)</f>
        <v>0</v>
      </c>
      <c r="J398">
        <f>SUM($I$2:I398)</f>
        <v>25</v>
      </c>
    </row>
    <row r="399" spans="5:10" x14ac:dyDescent="0.25">
      <c r="E399" s="4"/>
      <c r="F399" s="4"/>
      <c r="G399" t="str">
        <f t="shared" si="12"/>
        <v/>
      </c>
      <c r="H399" t="str">
        <f t="shared" si="13"/>
        <v/>
      </c>
      <c r="I399">
        <f>IF(AND(H399&gt;1,COUNTIF($G$2:G399,G399)=1),1,0)</f>
        <v>0</v>
      </c>
      <c r="J399">
        <f>SUM($I$2:I399)</f>
        <v>25</v>
      </c>
    </row>
    <row r="400" spans="5:10" x14ac:dyDescent="0.25">
      <c r="E400" s="4"/>
      <c r="F400" s="4"/>
      <c r="G400" t="str">
        <f t="shared" si="12"/>
        <v/>
      </c>
      <c r="H400" t="str">
        <f t="shared" si="13"/>
        <v/>
      </c>
      <c r="I400">
        <f>IF(AND(H400&gt;1,COUNTIF($G$2:G400,G400)=1),1,0)</f>
        <v>0</v>
      </c>
      <c r="J400">
        <f>SUM($I$2:I400)</f>
        <v>25</v>
      </c>
    </row>
    <row r="401" spans="5:10" x14ac:dyDescent="0.25">
      <c r="E401" s="4"/>
      <c r="F401" s="4"/>
      <c r="G401" t="str">
        <f t="shared" si="12"/>
        <v/>
      </c>
      <c r="H401" t="str">
        <f t="shared" si="13"/>
        <v/>
      </c>
      <c r="I401">
        <f>IF(AND(H401&gt;1,COUNTIF($G$2:G401,G401)=1),1,0)</f>
        <v>0</v>
      </c>
      <c r="J401">
        <f>SUM($I$2:I401)</f>
        <v>25</v>
      </c>
    </row>
    <row r="402" spans="5:10" x14ac:dyDescent="0.25">
      <c r="E402" s="4"/>
      <c r="F402" s="4"/>
      <c r="G402" t="str">
        <f t="shared" si="12"/>
        <v/>
      </c>
      <c r="H402" t="str">
        <f t="shared" si="13"/>
        <v/>
      </c>
      <c r="I402">
        <f>IF(AND(H402&gt;1,COUNTIF($G$2:G402,G402)=1),1,0)</f>
        <v>0</v>
      </c>
      <c r="J402">
        <f>SUM($I$2:I402)</f>
        <v>25</v>
      </c>
    </row>
    <row r="403" spans="5:10" x14ac:dyDescent="0.25">
      <c r="E403" s="4"/>
      <c r="F403" s="4"/>
      <c r="G403" t="str">
        <f t="shared" si="12"/>
        <v/>
      </c>
      <c r="H403" t="str">
        <f t="shared" si="13"/>
        <v/>
      </c>
      <c r="I403">
        <f>IF(AND(H403&gt;1,COUNTIF($G$2:G403,G403)=1),1,0)</f>
        <v>0</v>
      </c>
      <c r="J403">
        <f>SUM($I$2:I403)</f>
        <v>25</v>
      </c>
    </row>
    <row r="404" spans="5:10" x14ac:dyDescent="0.25">
      <c r="E404" s="4"/>
      <c r="F404" s="4"/>
      <c r="G404" t="str">
        <f t="shared" si="12"/>
        <v/>
      </c>
      <c r="H404" t="str">
        <f t="shared" si="13"/>
        <v/>
      </c>
      <c r="I404">
        <f>IF(AND(H404&gt;1,COUNTIF($G$2:G404,G404)=1),1,0)</f>
        <v>0</v>
      </c>
      <c r="J404">
        <f>SUM($I$2:I404)</f>
        <v>25</v>
      </c>
    </row>
    <row r="405" spans="5:10" x14ac:dyDescent="0.25">
      <c r="E405" s="4"/>
      <c r="F405" s="4"/>
      <c r="G405" t="str">
        <f t="shared" si="12"/>
        <v/>
      </c>
      <c r="H405" t="str">
        <f t="shared" si="13"/>
        <v/>
      </c>
      <c r="I405">
        <f>IF(AND(H405&gt;1,COUNTIF($G$2:G405,G405)=1),1,0)</f>
        <v>0</v>
      </c>
      <c r="J405">
        <f>SUM($I$2:I405)</f>
        <v>25</v>
      </c>
    </row>
    <row r="406" spans="5:10" x14ac:dyDescent="0.25">
      <c r="E406" s="4"/>
      <c r="F406" s="4"/>
      <c r="G406" t="str">
        <f t="shared" si="12"/>
        <v/>
      </c>
      <c r="H406" t="str">
        <f t="shared" si="13"/>
        <v/>
      </c>
      <c r="I406">
        <f>IF(AND(H406&gt;1,COUNTIF($G$2:G406,G406)=1),1,0)</f>
        <v>0</v>
      </c>
      <c r="J406">
        <f>SUM($I$2:I406)</f>
        <v>25</v>
      </c>
    </row>
    <row r="407" spans="5:10" x14ac:dyDescent="0.25">
      <c r="E407" s="4"/>
      <c r="F407" s="4"/>
      <c r="G407" t="str">
        <f t="shared" si="12"/>
        <v/>
      </c>
      <c r="H407" t="str">
        <f t="shared" si="13"/>
        <v/>
      </c>
      <c r="I407">
        <f>IF(AND(H407&gt;1,COUNTIF($G$2:G407,G407)=1),1,0)</f>
        <v>0</v>
      </c>
      <c r="J407">
        <f>SUM($I$2:I407)</f>
        <v>25</v>
      </c>
    </row>
    <row r="408" spans="5:10" x14ac:dyDescent="0.25">
      <c r="E408" s="4"/>
      <c r="F408" s="4"/>
      <c r="G408" t="str">
        <f t="shared" si="12"/>
        <v/>
      </c>
      <c r="H408" t="str">
        <f t="shared" si="13"/>
        <v/>
      </c>
      <c r="I408">
        <f>IF(AND(H408&gt;1,COUNTIF($G$2:G408,G408)=1),1,0)</f>
        <v>0</v>
      </c>
      <c r="J408">
        <f>SUM($I$2:I408)</f>
        <v>25</v>
      </c>
    </row>
    <row r="409" spans="5:10" x14ac:dyDescent="0.25">
      <c r="E409" s="4"/>
      <c r="F409" s="4"/>
      <c r="G409" t="str">
        <f t="shared" si="12"/>
        <v/>
      </c>
      <c r="H409" t="str">
        <f t="shared" si="13"/>
        <v/>
      </c>
      <c r="I409">
        <f>IF(AND(H409&gt;1,COUNTIF($G$2:G409,G409)=1),1,0)</f>
        <v>0</v>
      </c>
      <c r="J409">
        <f>SUM($I$2:I409)</f>
        <v>25</v>
      </c>
    </row>
    <row r="410" spans="5:10" x14ac:dyDescent="0.25">
      <c r="E410" s="4"/>
      <c r="F410" s="4"/>
      <c r="G410" t="str">
        <f t="shared" si="12"/>
        <v/>
      </c>
      <c r="H410" t="str">
        <f t="shared" si="13"/>
        <v/>
      </c>
      <c r="I410">
        <f>IF(AND(H410&gt;1,COUNTIF($G$2:G410,G410)=1),1,0)</f>
        <v>0</v>
      </c>
      <c r="J410">
        <f>SUM($I$2:I410)</f>
        <v>25</v>
      </c>
    </row>
    <row r="411" spans="5:10" x14ac:dyDescent="0.25">
      <c r="E411" s="4"/>
      <c r="F411" s="4"/>
      <c r="G411" t="str">
        <f t="shared" si="12"/>
        <v/>
      </c>
      <c r="H411" t="str">
        <f t="shared" si="13"/>
        <v/>
      </c>
      <c r="I411">
        <f>IF(AND(H411&gt;1,COUNTIF($G$2:G411,G411)=1),1,0)</f>
        <v>0</v>
      </c>
      <c r="J411">
        <f>SUM($I$2:I411)</f>
        <v>25</v>
      </c>
    </row>
    <row r="412" spans="5:10" x14ac:dyDescent="0.25">
      <c r="E412" s="4"/>
      <c r="F412" s="4"/>
      <c r="G412" t="str">
        <f t="shared" si="12"/>
        <v/>
      </c>
      <c r="H412" t="str">
        <f t="shared" si="13"/>
        <v/>
      </c>
      <c r="I412">
        <f>IF(AND(H412&gt;1,COUNTIF($G$2:G412,G412)=1),1,0)</f>
        <v>0</v>
      </c>
      <c r="J412">
        <f>SUM($I$2:I412)</f>
        <v>25</v>
      </c>
    </row>
    <row r="413" spans="5:10" x14ac:dyDescent="0.25">
      <c r="E413" s="4"/>
      <c r="F413" s="4"/>
      <c r="G413" t="str">
        <f t="shared" si="12"/>
        <v/>
      </c>
      <c r="H413" t="str">
        <f t="shared" si="13"/>
        <v/>
      </c>
      <c r="I413">
        <f>IF(AND(H413&gt;1,COUNTIF($G$2:G413,G413)=1),1,0)</f>
        <v>0</v>
      </c>
      <c r="J413">
        <f>SUM($I$2:I413)</f>
        <v>25</v>
      </c>
    </row>
    <row r="414" spans="5:10" x14ac:dyDescent="0.25">
      <c r="E414" s="4"/>
      <c r="F414" s="4"/>
      <c r="G414" t="str">
        <f t="shared" si="12"/>
        <v/>
      </c>
      <c r="H414" t="str">
        <f t="shared" si="13"/>
        <v/>
      </c>
      <c r="I414">
        <f>IF(AND(H414&gt;1,COUNTIF($G$2:G414,G414)=1),1,0)</f>
        <v>0</v>
      </c>
      <c r="J414">
        <f>SUM($I$2:I414)</f>
        <v>25</v>
      </c>
    </row>
    <row r="415" spans="5:10" x14ac:dyDescent="0.25">
      <c r="E415" s="4"/>
      <c r="F415" s="4"/>
      <c r="G415" t="str">
        <f t="shared" si="12"/>
        <v/>
      </c>
      <c r="H415" t="str">
        <f t="shared" si="13"/>
        <v/>
      </c>
      <c r="I415">
        <f>IF(AND(H415&gt;1,COUNTIF($G$2:G415,G415)=1),1,0)</f>
        <v>0</v>
      </c>
      <c r="J415">
        <f>SUM($I$2:I415)</f>
        <v>25</v>
      </c>
    </row>
    <row r="416" spans="5:10" x14ac:dyDescent="0.25">
      <c r="E416" s="4"/>
      <c r="F416" s="4"/>
      <c r="G416" t="str">
        <f t="shared" si="12"/>
        <v/>
      </c>
      <c r="H416" t="str">
        <f t="shared" si="13"/>
        <v/>
      </c>
      <c r="I416">
        <f>IF(AND(H416&gt;1,COUNTIF($G$2:G416,G416)=1),1,0)</f>
        <v>0</v>
      </c>
      <c r="J416">
        <f>SUM($I$2:I416)</f>
        <v>25</v>
      </c>
    </row>
    <row r="417" spans="5:10" x14ac:dyDescent="0.25">
      <c r="E417" s="4"/>
      <c r="F417" s="4"/>
      <c r="G417" t="str">
        <f t="shared" si="12"/>
        <v/>
      </c>
      <c r="H417" t="str">
        <f t="shared" si="13"/>
        <v/>
      </c>
      <c r="I417">
        <f>IF(AND(H417&gt;1,COUNTIF($G$2:G417,G417)=1),1,0)</f>
        <v>0</v>
      </c>
      <c r="J417">
        <f>SUM($I$2:I417)</f>
        <v>25</v>
      </c>
    </row>
    <row r="418" spans="5:10" x14ac:dyDescent="0.25">
      <c r="E418" s="4"/>
      <c r="F418" s="4"/>
      <c r="G418" t="str">
        <f t="shared" si="12"/>
        <v/>
      </c>
      <c r="H418" t="str">
        <f t="shared" si="13"/>
        <v/>
      </c>
      <c r="I418">
        <f>IF(AND(H418&gt;1,COUNTIF($G$2:G418,G418)=1),1,0)</f>
        <v>0</v>
      </c>
      <c r="J418">
        <f>SUM($I$2:I418)</f>
        <v>25</v>
      </c>
    </row>
    <row r="419" spans="5:10" x14ac:dyDescent="0.25">
      <c r="E419" s="4"/>
      <c r="F419" s="4"/>
      <c r="G419" t="str">
        <f t="shared" si="12"/>
        <v/>
      </c>
      <c r="H419" t="str">
        <f t="shared" si="13"/>
        <v/>
      </c>
      <c r="I419">
        <f>IF(AND(H419&gt;1,COUNTIF($G$2:G419,G419)=1),1,0)</f>
        <v>0</v>
      </c>
      <c r="J419">
        <f>SUM($I$2:I419)</f>
        <v>25</v>
      </c>
    </row>
    <row r="420" spans="5:10" x14ac:dyDescent="0.25">
      <c r="E420" s="4"/>
      <c r="F420" s="4"/>
      <c r="G420" t="str">
        <f t="shared" si="12"/>
        <v/>
      </c>
      <c r="H420" t="str">
        <f t="shared" si="13"/>
        <v/>
      </c>
      <c r="I420">
        <f>IF(AND(H420&gt;1,COUNTIF($G$2:G420,G420)=1),1,0)</f>
        <v>0</v>
      </c>
      <c r="J420">
        <f>SUM($I$2:I420)</f>
        <v>25</v>
      </c>
    </row>
    <row r="421" spans="5:10" x14ac:dyDescent="0.25">
      <c r="E421" s="4"/>
      <c r="F421" s="4"/>
      <c r="G421" t="str">
        <f t="shared" si="12"/>
        <v/>
      </c>
      <c r="H421" t="str">
        <f t="shared" si="13"/>
        <v/>
      </c>
      <c r="I421">
        <f>IF(AND(H421&gt;1,COUNTIF($G$2:G421,G421)=1),1,0)</f>
        <v>0</v>
      </c>
      <c r="J421">
        <f>SUM($I$2:I421)</f>
        <v>25</v>
      </c>
    </row>
    <row r="422" spans="5:10" x14ac:dyDescent="0.25">
      <c r="E422" s="4"/>
      <c r="F422" s="4"/>
      <c r="G422" t="str">
        <f t="shared" si="12"/>
        <v/>
      </c>
      <c r="H422" t="str">
        <f t="shared" si="13"/>
        <v/>
      </c>
      <c r="I422">
        <f>IF(AND(H422&gt;1,COUNTIF($G$2:G422,G422)=1),1,0)</f>
        <v>0</v>
      </c>
      <c r="J422">
        <f>SUM($I$2:I422)</f>
        <v>25</v>
      </c>
    </row>
    <row r="423" spans="5:10" x14ac:dyDescent="0.25">
      <c r="E423" s="4"/>
      <c r="F423" s="4"/>
      <c r="G423" t="str">
        <f t="shared" si="12"/>
        <v/>
      </c>
      <c r="H423" t="str">
        <f t="shared" si="13"/>
        <v/>
      </c>
      <c r="I423">
        <f>IF(AND(H423&gt;1,COUNTIF($G$2:G423,G423)=1),1,0)</f>
        <v>0</v>
      </c>
      <c r="J423">
        <f>SUM($I$2:I423)</f>
        <v>25</v>
      </c>
    </row>
    <row r="424" spans="5:10" x14ac:dyDescent="0.25">
      <c r="E424" s="4"/>
      <c r="F424" s="4"/>
      <c r="G424" t="str">
        <f t="shared" si="12"/>
        <v/>
      </c>
      <c r="H424" t="str">
        <f t="shared" si="13"/>
        <v/>
      </c>
      <c r="I424">
        <f>IF(AND(H424&gt;1,COUNTIF($G$2:G424,G424)=1),1,0)</f>
        <v>0</v>
      </c>
      <c r="J424">
        <f>SUM($I$2:I424)</f>
        <v>25</v>
      </c>
    </row>
    <row r="425" spans="5:10" x14ac:dyDescent="0.25">
      <c r="E425" s="4"/>
      <c r="F425" s="4"/>
      <c r="G425" t="str">
        <f t="shared" si="12"/>
        <v/>
      </c>
      <c r="H425" t="str">
        <f t="shared" si="13"/>
        <v/>
      </c>
      <c r="I425">
        <f>IF(AND(H425&gt;1,COUNTIF($G$2:G425,G425)=1),1,0)</f>
        <v>0</v>
      </c>
      <c r="J425">
        <f>SUM($I$2:I425)</f>
        <v>25</v>
      </c>
    </row>
    <row r="426" spans="5:10" x14ac:dyDescent="0.25">
      <c r="E426" s="4"/>
      <c r="F426" s="4"/>
      <c r="G426" t="str">
        <f t="shared" si="12"/>
        <v/>
      </c>
      <c r="H426" t="str">
        <f t="shared" si="13"/>
        <v/>
      </c>
      <c r="I426">
        <f>IF(AND(H426&gt;1,COUNTIF($G$2:G426,G426)=1),1,0)</f>
        <v>0</v>
      </c>
      <c r="J426">
        <f>SUM($I$2:I426)</f>
        <v>25</v>
      </c>
    </row>
    <row r="427" spans="5:10" x14ac:dyDescent="0.25">
      <c r="E427" s="4"/>
      <c r="F427" s="4"/>
      <c r="G427" t="str">
        <f t="shared" si="12"/>
        <v/>
      </c>
      <c r="H427" t="str">
        <f t="shared" si="13"/>
        <v/>
      </c>
      <c r="I427">
        <f>IF(AND(H427&gt;1,COUNTIF($G$2:G427,G427)=1),1,0)</f>
        <v>0</v>
      </c>
      <c r="J427">
        <f>SUM($I$2:I427)</f>
        <v>25</v>
      </c>
    </row>
    <row r="428" spans="5:10" x14ac:dyDescent="0.25">
      <c r="E428" s="4"/>
      <c r="F428" s="4"/>
      <c r="G428" t="str">
        <f t="shared" si="12"/>
        <v/>
      </c>
      <c r="H428" t="str">
        <f t="shared" si="13"/>
        <v/>
      </c>
      <c r="I428">
        <f>IF(AND(H428&gt;1,COUNTIF($G$2:G428,G428)=1),1,0)</f>
        <v>0</v>
      </c>
      <c r="J428">
        <f>SUM($I$2:I428)</f>
        <v>25</v>
      </c>
    </row>
    <row r="429" spans="5:10" x14ac:dyDescent="0.25">
      <c r="E429" s="4"/>
      <c r="F429" s="4"/>
      <c r="G429" t="str">
        <f t="shared" si="12"/>
        <v/>
      </c>
      <c r="H429" t="str">
        <f t="shared" si="13"/>
        <v/>
      </c>
      <c r="I429">
        <f>IF(AND(H429&gt;1,COUNTIF($G$2:G429,G429)=1),1,0)</f>
        <v>0</v>
      </c>
      <c r="J429">
        <f>SUM($I$2:I429)</f>
        <v>25</v>
      </c>
    </row>
    <row r="430" spans="5:10" x14ac:dyDescent="0.25">
      <c r="E430" s="4"/>
      <c r="F430" s="4"/>
      <c r="G430" t="str">
        <f t="shared" si="12"/>
        <v/>
      </c>
      <c r="H430" t="str">
        <f t="shared" si="13"/>
        <v/>
      </c>
      <c r="I430">
        <f>IF(AND(H430&gt;1,COUNTIF($G$2:G430,G430)=1),1,0)</f>
        <v>0</v>
      </c>
      <c r="J430">
        <f>SUM($I$2:I430)</f>
        <v>25</v>
      </c>
    </row>
    <row r="431" spans="5:10" x14ac:dyDescent="0.25">
      <c r="E431" s="4"/>
      <c r="F431" s="4"/>
      <c r="G431" t="str">
        <f t="shared" si="12"/>
        <v/>
      </c>
      <c r="H431" t="str">
        <f t="shared" si="13"/>
        <v/>
      </c>
      <c r="I431">
        <f>IF(AND(H431&gt;1,COUNTIF($G$2:G431,G431)=1),1,0)</f>
        <v>0</v>
      </c>
      <c r="J431">
        <f>SUM($I$2:I431)</f>
        <v>25</v>
      </c>
    </row>
    <row r="432" spans="5:10" x14ac:dyDescent="0.25">
      <c r="E432" s="4"/>
      <c r="F432" s="4"/>
      <c r="G432" t="str">
        <f t="shared" si="12"/>
        <v/>
      </c>
      <c r="H432" t="str">
        <f t="shared" si="13"/>
        <v/>
      </c>
      <c r="I432">
        <f>IF(AND(H432&gt;1,COUNTIF($G$2:G432,G432)=1),1,0)</f>
        <v>0</v>
      </c>
      <c r="J432">
        <f>SUM($I$2:I432)</f>
        <v>25</v>
      </c>
    </row>
    <row r="433" spans="5:10" x14ac:dyDescent="0.25">
      <c r="E433" s="4"/>
      <c r="F433" s="4"/>
      <c r="G433" t="str">
        <f t="shared" si="12"/>
        <v/>
      </c>
      <c r="H433" t="str">
        <f t="shared" si="13"/>
        <v/>
      </c>
      <c r="I433">
        <f>IF(AND(H433&gt;1,COUNTIF($G$2:G433,G433)=1),1,0)</f>
        <v>0</v>
      </c>
      <c r="J433">
        <f>SUM($I$2:I433)</f>
        <v>25</v>
      </c>
    </row>
    <row r="434" spans="5:10" x14ac:dyDescent="0.25">
      <c r="E434" s="4"/>
      <c r="F434" s="4"/>
      <c r="G434" t="str">
        <f t="shared" si="12"/>
        <v/>
      </c>
      <c r="H434" t="str">
        <f t="shared" si="13"/>
        <v/>
      </c>
      <c r="I434">
        <f>IF(AND(H434&gt;1,COUNTIF($G$2:G434,G434)=1),1,0)</f>
        <v>0</v>
      </c>
      <c r="J434">
        <f>SUM($I$2:I434)</f>
        <v>25</v>
      </c>
    </row>
    <row r="435" spans="5:10" x14ac:dyDescent="0.25">
      <c r="E435" s="4"/>
      <c r="F435" s="4"/>
      <c r="G435" t="str">
        <f t="shared" si="12"/>
        <v/>
      </c>
      <c r="H435" t="str">
        <f t="shared" si="13"/>
        <v/>
      </c>
      <c r="I435">
        <f>IF(AND(H435&gt;1,COUNTIF($G$2:G435,G435)=1),1,0)</f>
        <v>0</v>
      </c>
      <c r="J435">
        <f>SUM($I$2:I435)</f>
        <v>25</v>
      </c>
    </row>
    <row r="436" spans="5:10" x14ac:dyDescent="0.25">
      <c r="E436" s="4"/>
      <c r="F436" s="4"/>
      <c r="G436" t="str">
        <f t="shared" si="12"/>
        <v/>
      </c>
      <c r="H436" t="str">
        <f t="shared" si="13"/>
        <v/>
      </c>
      <c r="I436">
        <f>IF(AND(H436&gt;1,COUNTIF($G$2:G436,G436)=1),1,0)</f>
        <v>0</v>
      </c>
      <c r="J436">
        <f>SUM($I$2:I436)</f>
        <v>25</v>
      </c>
    </row>
    <row r="437" spans="5:10" x14ac:dyDescent="0.25">
      <c r="E437" s="4"/>
      <c r="F437" s="4"/>
      <c r="G437" t="str">
        <f t="shared" si="12"/>
        <v/>
      </c>
      <c r="H437" t="str">
        <f t="shared" si="13"/>
        <v/>
      </c>
      <c r="I437">
        <f>IF(AND(H437&gt;1,COUNTIF($G$2:G437,G437)=1),1,0)</f>
        <v>0</v>
      </c>
      <c r="J437">
        <f>SUM($I$2:I437)</f>
        <v>25</v>
      </c>
    </row>
    <row r="438" spans="5:10" x14ac:dyDescent="0.25">
      <c r="E438" s="4"/>
      <c r="F438" s="4"/>
      <c r="G438" t="str">
        <f t="shared" si="12"/>
        <v/>
      </c>
      <c r="H438" t="str">
        <f t="shared" si="13"/>
        <v/>
      </c>
      <c r="I438">
        <f>IF(AND(H438&gt;1,COUNTIF($G$2:G438,G438)=1),1,0)</f>
        <v>0</v>
      </c>
      <c r="J438">
        <f>SUM($I$2:I438)</f>
        <v>25</v>
      </c>
    </row>
    <row r="439" spans="5:10" x14ac:dyDescent="0.25">
      <c r="E439" s="4"/>
      <c r="F439" s="4"/>
      <c r="G439" t="str">
        <f t="shared" si="12"/>
        <v/>
      </c>
      <c r="H439" t="str">
        <f t="shared" si="13"/>
        <v/>
      </c>
      <c r="I439">
        <f>IF(AND(H439&gt;1,COUNTIF($G$2:G439,G439)=1),1,0)</f>
        <v>0</v>
      </c>
      <c r="J439">
        <f>SUM($I$2:I439)</f>
        <v>25</v>
      </c>
    </row>
    <row r="440" spans="5:10" x14ac:dyDescent="0.25">
      <c r="E440" s="4"/>
      <c r="F440" s="4"/>
      <c r="G440" t="str">
        <f t="shared" si="12"/>
        <v/>
      </c>
      <c r="H440" t="str">
        <f t="shared" si="13"/>
        <v/>
      </c>
      <c r="I440">
        <f>IF(AND(H440&gt;1,COUNTIF($G$2:G440,G440)=1),1,0)</f>
        <v>0</v>
      </c>
      <c r="J440">
        <f>SUM($I$2:I440)</f>
        <v>25</v>
      </c>
    </row>
    <row r="441" spans="5:10" x14ac:dyDescent="0.25">
      <c r="E441" s="4"/>
      <c r="F441" s="4"/>
      <c r="G441" t="str">
        <f t="shared" si="12"/>
        <v/>
      </c>
      <c r="H441" t="str">
        <f t="shared" si="13"/>
        <v/>
      </c>
      <c r="I441">
        <f>IF(AND(H441&gt;1,COUNTIF($G$2:G441,G441)=1),1,0)</f>
        <v>0</v>
      </c>
      <c r="J441">
        <f>SUM($I$2:I441)</f>
        <v>25</v>
      </c>
    </row>
    <row r="442" spans="5:10" x14ac:dyDescent="0.25">
      <c r="E442" s="4"/>
      <c r="F442" s="4"/>
      <c r="G442" t="str">
        <f t="shared" si="12"/>
        <v/>
      </c>
      <c r="H442" t="str">
        <f t="shared" si="13"/>
        <v/>
      </c>
      <c r="I442">
        <f>IF(AND(H442&gt;1,COUNTIF($G$2:G442,G442)=1),1,0)</f>
        <v>0</v>
      </c>
      <c r="J442">
        <f>SUM($I$2:I442)</f>
        <v>25</v>
      </c>
    </row>
    <row r="443" spans="5:10" x14ac:dyDescent="0.25">
      <c r="E443" s="4"/>
      <c r="F443" s="4"/>
      <c r="G443" t="str">
        <f t="shared" si="12"/>
        <v/>
      </c>
      <c r="H443" t="str">
        <f t="shared" si="13"/>
        <v/>
      </c>
      <c r="I443">
        <f>IF(AND(H443&gt;1,COUNTIF($G$2:G443,G443)=1),1,0)</f>
        <v>0</v>
      </c>
      <c r="J443">
        <f>SUM($I$2:I443)</f>
        <v>25</v>
      </c>
    </row>
    <row r="444" spans="5:10" x14ac:dyDescent="0.25">
      <c r="E444" s="4"/>
      <c r="F444" s="4"/>
      <c r="G444" t="str">
        <f t="shared" si="12"/>
        <v/>
      </c>
      <c r="H444" t="str">
        <f t="shared" si="13"/>
        <v/>
      </c>
      <c r="I444">
        <f>IF(AND(H444&gt;1,COUNTIF($G$2:G444,G444)=1),1,0)</f>
        <v>0</v>
      </c>
      <c r="J444">
        <f>SUM($I$2:I444)</f>
        <v>25</v>
      </c>
    </row>
    <row r="445" spans="5:10" x14ac:dyDescent="0.25">
      <c r="E445" s="4"/>
      <c r="F445" s="4"/>
      <c r="G445" t="str">
        <f t="shared" si="12"/>
        <v/>
      </c>
      <c r="H445" t="str">
        <f t="shared" si="13"/>
        <v/>
      </c>
      <c r="I445">
        <f>IF(AND(H445&gt;1,COUNTIF($G$2:G445,G445)=1),1,0)</f>
        <v>0</v>
      </c>
      <c r="J445">
        <f>SUM($I$2:I445)</f>
        <v>25</v>
      </c>
    </row>
    <row r="446" spans="5:10" x14ac:dyDescent="0.25">
      <c r="E446" s="4"/>
      <c r="F446" s="4"/>
      <c r="G446" t="str">
        <f t="shared" si="12"/>
        <v/>
      </c>
      <c r="H446" t="str">
        <f t="shared" si="13"/>
        <v/>
      </c>
      <c r="I446">
        <f>IF(AND(H446&gt;1,COUNTIF($G$2:G446,G446)=1),1,0)</f>
        <v>0</v>
      </c>
      <c r="J446">
        <f>SUM($I$2:I446)</f>
        <v>25</v>
      </c>
    </row>
    <row r="447" spans="5:10" x14ac:dyDescent="0.25">
      <c r="E447" s="4"/>
      <c r="F447" s="4"/>
      <c r="G447" t="str">
        <f t="shared" si="12"/>
        <v/>
      </c>
      <c r="H447" t="str">
        <f t="shared" si="13"/>
        <v/>
      </c>
      <c r="I447">
        <f>IF(AND(H447&gt;1,COUNTIF($G$2:G447,G447)=1),1,0)</f>
        <v>0</v>
      </c>
      <c r="J447">
        <f>SUM($I$2:I447)</f>
        <v>25</v>
      </c>
    </row>
    <row r="448" spans="5:10" x14ac:dyDescent="0.25">
      <c r="E448" s="4"/>
      <c r="F448" s="4"/>
      <c r="G448" t="str">
        <f t="shared" si="12"/>
        <v/>
      </c>
      <c r="H448" t="str">
        <f t="shared" si="13"/>
        <v/>
      </c>
      <c r="I448">
        <f>IF(AND(H448&gt;1,COUNTIF($G$2:G448,G448)=1),1,0)</f>
        <v>0</v>
      </c>
      <c r="J448">
        <f>SUM($I$2:I448)</f>
        <v>25</v>
      </c>
    </row>
    <row r="449" spans="5:10" x14ac:dyDescent="0.25">
      <c r="E449" s="4"/>
      <c r="F449" s="4"/>
      <c r="G449" t="str">
        <f t="shared" si="12"/>
        <v/>
      </c>
      <c r="H449" t="str">
        <f t="shared" si="13"/>
        <v/>
      </c>
      <c r="I449">
        <f>IF(AND(H449&gt;1,COUNTIF($G$2:G449,G449)=1),1,0)</f>
        <v>0</v>
      </c>
      <c r="J449">
        <f>SUM($I$2:I449)</f>
        <v>25</v>
      </c>
    </row>
    <row r="450" spans="5:10" x14ac:dyDescent="0.25">
      <c r="E450" s="4"/>
      <c r="F450" s="4"/>
      <c r="G450" t="str">
        <f t="shared" ref="G450:G500" si="14">IF(OR(C450="",D450=""),"",TEXT(C450,"0.0000000")&amp;"|"&amp;TEXT(D450,"0.0000000"))</f>
        <v/>
      </c>
      <c r="H450" t="str">
        <f t="shared" ref="H450:H500" si="15">IF(G450="","",COUNTIF($G$2:$G$500,G450))</f>
        <v/>
      </c>
      <c r="I450">
        <f>IF(AND(H450&gt;1,COUNTIF($G$2:G450,G450)=1),1,0)</f>
        <v>0</v>
      </c>
      <c r="J450">
        <f>SUM($I$2:I450)</f>
        <v>25</v>
      </c>
    </row>
    <row r="451" spans="5:10" x14ac:dyDescent="0.25">
      <c r="E451" s="4"/>
      <c r="F451" s="4"/>
      <c r="G451" t="str">
        <f t="shared" si="14"/>
        <v/>
      </c>
      <c r="H451" t="str">
        <f t="shared" si="15"/>
        <v/>
      </c>
      <c r="I451">
        <f>IF(AND(H451&gt;1,COUNTIF($G$2:G451,G451)=1),1,0)</f>
        <v>0</v>
      </c>
      <c r="J451">
        <f>SUM($I$2:I451)</f>
        <v>25</v>
      </c>
    </row>
    <row r="452" spans="5:10" x14ac:dyDescent="0.25">
      <c r="E452" s="4"/>
      <c r="F452" s="4"/>
      <c r="G452" t="str">
        <f t="shared" si="14"/>
        <v/>
      </c>
      <c r="H452" t="str">
        <f t="shared" si="15"/>
        <v/>
      </c>
      <c r="I452">
        <f>IF(AND(H452&gt;1,COUNTIF($G$2:G452,G452)=1),1,0)</f>
        <v>0</v>
      </c>
      <c r="J452">
        <f>SUM($I$2:I452)</f>
        <v>25</v>
      </c>
    </row>
    <row r="453" spans="5:10" x14ac:dyDescent="0.25">
      <c r="E453" s="4"/>
      <c r="F453" s="4"/>
      <c r="G453" t="str">
        <f t="shared" si="14"/>
        <v/>
      </c>
      <c r="H453" t="str">
        <f t="shared" si="15"/>
        <v/>
      </c>
      <c r="I453">
        <f>IF(AND(H453&gt;1,COUNTIF($G$2:G453,G453)=1),1,0)</f>
        <v>0</v>
      </c>
      <c r="J453">
        <f>SUM($I$2:I453)</f>
        <v>25</v>
      </c>
    </row>
    <row r="454" spans="5:10" x14ac:dyDescent="0.25">
      <c r="E454" s="4"/>
      <c r="F454" s="4"/>
      <c r="G454" t="str">
        <f t="shared" si="14"/>
        <v/>
      </c>
      <c r="H454" t="str">
        <f t="shared" si="15"/>
        <v/>
      </c>
      <c r="I454">
        <f>IF(AND(H454&gt;1,COUNTIF($G$2:G454,G454)=1),1,0)</f>
        <v>0</v>
      </c>
      <c r="J454">
        <f>SUM($I$2:I454)</f>
        <v>25</v>
      </c>
    </row>
    <row r="455" spans="5:10" x14ac:dyDescent="0.25">
      <c r="E455" s="4"/>
      <c r="F455" s="4"/>
      <c r="G455" t="str">
        <f t="shared" si="14"/>
        <v/>
      </c>
      <c r="H455" t="str">
        <f t="shared" si="15"/>
        <v/>
      </c>
      <c r="I455">
        <f>IF(AND(H455&gt;1,COUNTIF($G$2:G455,G455)=1),1,0)</f>
        <v>0</v>
      </c>
      <c r="J455">
        <f>SUM($I$2:I455)</f>
        <v>25</v>
      </c>
    </row>
    <row r="456" spans="5:10" x14ac:dyDescent="0.25">
      <c r="E456" s="4"/>
      <c r="F456" s="4"/>
      <c r="G456" t="str">
        <f t="shared" si="14"/>
        <v/>
      </c>
      <c r="H456" t="str">
        <f t="shared" si="15"/>
        <v/>
      </c>
      <c r="I456">
        <f>IF(AND(H456&gt;1,COUNTIF($G$2:G456,G456)=1),1,0)</f>
        <v>0</v>
      </c>
      <c r="J456">
        <f>SUM($I$2:I456)</f>
        <v>25</v>
      </c>
    </row>
    <row r="457" spans="5:10" x14ac:dyDescent="0.25">
      <c r="E457" s="4"/>
      <c r="F457" s="4"/>
      <c r="G457" t="str">
        <f t="shared" si="14"/>
        <v/>
      </c>
      <c r="H457" t="str">
        <f t="shared" si="15"/>
        <v/>
      </c>
      <c r="I457">
        <f>IF(AND(H457&gt;1,COUNTIF($G$2:G457,G457)=1),1,0)</f>
        <v>0</v>
      </c>
      <c r="J457">
        <f>SUM($I$2:I457)</f>
        <v>25</v>
      </c>
    </row>
    <row r="458" spans="5:10" x14ac:dyDescent="0.25">
      <c r="E458" s="4"/>
      <c r="F458" s="4"/>
      <c r="G458" t="str">
        <f t="shared" si="14"/>
        <v/>
      </c>
      <c r="H458" t="str">
        <f t="shared" si="15"/>
        <v/>
      </c>
      <c r="I458">
        <f>IF(AND(H458&gt;1,COUNTIF($G$2:G458,G458)=1),1,0)</f>
        <v>0</v>
      </c>
      <c r="J458">
        <f>SUM($I$2:I458)</f>
        <v>25</v>
      </c>
    </row>
    <row r="459" spans="5:10" x14ac:dyDescent="0.25">
      <c r="E459" s="4"/>
      <c r="F459" s="4"/>
      <c r="G459" t="str">
        <f t="shared" si="14"/>
        <v/>
      </c>
      <c r="H459" t="str">
        <f t="shared" si="15"/>
        <v/>
      </c>
      <c r="I459">
        <f>IF(AND(H459&gt;1,COUNTIF($G$2:G459,G459)=1),1,0)</f>
        <v>0</v>
      </c>
      <c r="J459">
        <f>SUM($I$2:I459)</f>
        <v>25</v>
      </c>
    </row>
    <row r="460" spans="5:10" x14ac:dyDescent="0.25">
      <c r="E460" s="4"/>
      <c r="F460" s="4"/>
      <c r="G460" t="str">
        <f t="shared" si="14"/>
        <v/>
      </c>
      <c r="H460" t="str">
        <f t="shared" si="15"/>
        <v/>
      </c>
      <c r="I460">
        <f>IF(AND(H460&gt;1,COUNTIF($G$2:G460,G460)=1),1,0)</f>
        <v>0</v>
      </c>
      <c r="J460">
        <f>SUM($I$2:I460)</f>
        <v>25</v>
      </c>
    </row>
    <row r="461" spans="5:10" x14ac:dyDescent="0.25">
      <c r="E461" s="4"/>
      <c r="F461" s="4"/>
      <c r="G461" t="str">
        <f t="shared" si="14"/>
        <v/>
      </c>
      <c r="H461" t="str">
        <f t="shared" si="15"/>
        <v/>
      </c>
      <c r="I461">
        <f>IF(AND(H461&gt;1,COUNTIF($G$2:G461,G461)=1),1,0)</f>
        <v>0</v>
      </c>
      <c r="J461">
        <f>SUM($I$2:I461)</f>
        <v>25</v>
      </c>
    </row>
    <row r="462" spans="5:10" x14ac:dyDescent="0.25">
      <c r="E462" s="4"/>
      <c r="F462" s="4"/>
      <c r="G462" t="str">
        <f t="shared" si="14"/>
        <v/>
      </c>
      <c r="H462" t="str">
        <f t="shared" si="15"/>
        <v/>
      </c>
      <c r="I462">
        <f>IF(AND(H462&gt;1,COUNTIF($G$2:G462,G462)=1),1,0)</f>
        <v>0</v>
      </c>
      <c r="J462">
        <f>SUM($I$2:I462)</f>
        <v>25</v>
      </c>
    </row>
    <row r="463" spans="5:10" x14ac:dyDescent="0.25">
      <c r="E463" s="4"/>
      <c r="F463" s="4"/>
      <c r="G463" t="str">
        <f t="shared" si="14"/>
        <v/>
      </c>
      <c r="H463" t="str">
        <f t="shared" si="15"/>
        <v/>
      </c>
      <c r="I463">
        <f>IF(AND(H463&gt;1,COUNTIF($G$2:G463,G463)=1),1,0)</f>
        <v>0</v>
      </c>
      <c r="J463">
        <f>SUM($I$2:I463)</f>
        <v>25</v>
      </c>
    </row>
    <row r="464" spans="5:10" x14ac:dyDescent="0.25">
      <c r="E464" s="4"/>
      <c r="F464" s="4"/>
      <c r="G464" t="str">
        <f t="shared" si="14"/>
        <v/>
      </c>
      <c r="H464" t="str">
        <f t="shared" si="15"/>
        <v/>
      </c>
      <c r="I464">
        <f>IF(AND(H464&gt;1,COUNTIF($G$2:G464,G464)=1),1,0)</f>
        <v>0</v>
      </c>
      <c r="J464">
        <f>SUM($I$2:I464)</f>
        <v>25</v>
      </c>
    </row>
    <row r="465" spans="5:10" x14ac:dyDescent="0.25">
      <c r="E465" s="4"/>
      <c r="F465" s="4"/>
      <c r="G465" t="str">
        <f t="shared" si="14"/>
        <v/>
      </c>
      <c r="H465" t="str">
        <f t="shared" si="15"/>
        <v/>
      </c>
      <c r="I465">
        <f>IF(AND(H465&gt;1,COUNTIF($G$2:G465,G465)=1),1,0)</f>
        <v>0</v>
      </c>
      <c r="J465">
        <f>SUM($I$2:I465)</f>
        <v>25</v>
      </c>
    </row>
    <row r="466" spans="5:10" x14ac:dyDescent="0.25">
      <c r="E466" s="4"/>
      <c r="F466" s="4"/>
      <c r="G466" t="str">
        <f t="shared" si="14"/>
        <v/>
      </c>
      <c r="H466" t="str">
        <f t="shared" si="15"/>
        <v/>
      </c>
      <c r="I466">
        <f>IF(AND(H466&gt;1,COUNTIF($G$2:G466,G466)=1),1,0)</f>
        <v>0</v>
      </c>
      <c r="J466">
        <f>SUM($I$2:I466)</f>
        <v>25</v>
      </c>
    </row>
    <row r="467" spans="5:10" x14ac:dyDescent="0.25">
      <c r="E467" s="4"/>
      <c r="F467" s="4"/>
      <c r="G467" t="str">
        <f t="shared" si="14"/>
        <v/>
      </c>
      <c r="H467" t="str">
        <f t="shared" si="15"/>
        <v/>
      </c>
      <c r="I467">
        <f>IF(AND(H467&gt;1,COUNTIF($G$2:G467,G467)=1),1,0)</f>
        <v>0</v>
      </c>
      <c r="J467">
        <f>SUM($I$2:I467)</f>
        <v>25</v>
      </c>
    </row>
    <row r="468" spans="5:10" x14ac:dyDescent="0.25">
      <c r="E468" s="4"/>
      <c r="F468" s="4"/>
      <c r="G468" t="str">
        <f t="shared" si="14"/>
        <v/>
      </c>
      <c r="H468" t="str">
        <f t="shared" si="15"/>
        <v/>
      </c>
      <c r="I468">
        <f>IF(AND(H468&gt;1,COUNTIF($G$2:G468,G468)=1),1,0)</f>
        <v>0</v>
      </c>
      <c r="J468">
        <f>SUM($I$2:I468)</f>
        <v>25</v>
      </c>
    </row>
    <row r="469" spans="5:10" x14ac:dyDescent="0.25">
      <c r="E469" s="4"/>
      <c r="F469" s="4"/>
      <c r="G469" t="str">
        <f t="shared" si="14"/>
        <v/>
      </c>
      <c r="H469" t="str">
        <f t="shared" si="15"/>
        <v/>
      </c>
      <c r="I469">
        <f>IF(AND(H469&gt;1,COUNTIF($G$2:G469,G469)=1),1,0)</f>
        <v>0</v>
      </c>
      <c r="J469">
        <f>SUM($I$2:I469)</f>
        <v>25</v>
      </c>
    </row>
    <row r="470" spans="5:10" x14ac:dyDescent="0.25">
      <c r="E470" s="4"/>
      <c r="F470" s="4"/>
      <c r="G470" t="str">
        <f t="shared" si="14"/>
        <v/>
      </c>
      <c r="H470" t="str">
        <f t="shared" si="15"/>
        <v/>
      </c>
      <c r="I470">
        <f>IF(AND(H470&gt;1,COUNTIF($G$2:G470,G470)=1),1,0)</f>
        <v>0</v>
      </c>
      <c r="J470">
        <f>SUM($I$2:I470)</f>
        <v>25</v>
      </c>
    </row>
    <row r="471" spans="5:10" x14ac:dyDescent="0.25">
      <c r="E471" s="4"/>
      <c r="F471" s="4"/>
      <c r="G471" t="str">
        <f t="shared" si="14"/>
        <v/>
      </c>
      <c r="H471" t="str">
        <f t="shared" si="15"/>
        <v/>
      </c>
      <c r="I471">
        <f>IF(AND(H471&gt;1,COUNTIF($G$2:G471,G471)=1),1,0)</f>
        <v>0</v>
      </c>
      <c r="J471">
        <f>SUM($I$2:I471)</f>
        <v>25</v>
      </c>
    </row>
    <row r="472" spans="5:10" x14ac:dyDescent="0.25">
      <c r="E472" s="4"/>
      <c r="F472" s="4"/>
      <c r="G472" t="str">
        <f t="shared" si="14"/>
        <v/>
      </c>
      <c r="H472" t="str">
        <f t="shared" si="15"/>
        <v/>
      </c>
      <c r="I472">
        <f>IF(AND(H472&gt;1,COUNTIF($G$2:G472,G472)=1),1,0)</f>
        <v>0</v>
      </c>
      <c r="J472">
        <f>SUM($I$2:I472)</f>
        <v>25</v>
      </c>
    </row>
    <row r="473" spans="5:10" x14ac:dyDescent="0.25">
      <c r="E473" s="4"/>
      <c r="F473" s="4"/>
      <c r="G473" t="str">
        <f t="shared" si="14"/>
        <v/>
      </c>
      <c r="H473" t="str">
        <f t="shared" si="15"/>
        <v/>
      </c>
      <c r="I473">
        <f>IF(AND(H473&gt;1,COUNTIF($G$2:G473,G473)=1),1,0)</f>
        <v>0</v>
      </c>
      <c r="J473">
        <f>SUM($I$2:I473)</f>
        <v>25</v>
      </c>
    </row>
    <row r="474" spans="5:10" x14ac:dyDescent="0.25">
      <c r="E474" s="4"/>
      <c r="F474" s="4"/>
      <c r="G474" t="str">
        <f t="shared" si="14"/>
        <v/>
      </c>
      <c r="H474" t="str">
        <f t="shared" si="15"/>
        <v/>
      </c>
      <c r="I474">
        <f>IF(AND(H474&gt;1,COUNTIF($G$2:G474,G474)=1),1,0)</f>
        <v>0</v>
      </c>
      <c r="J474">
        <f>SUM($I$2:I474)</f>
        <v>25</v>
      </c>
    </row>
    <row r="475" spans="5:10" x14ac:dyDescent="0.25">
      <c r="E475" s="4"/>
      <c r="F475" s="4"/>
      <c r="G475" t="str">
        <f t="shared" si="14"/>
        <v/>
      </c>
      <c r="H475" t="str">
        <f t="shared" si="15"/>
        <v/>
      </c>
      <c r="I475">
        <f>IF(AND(H475&gt;1,COUNTIF($G$2:G475,G475)=1),1,0)</f>
        <v>0</v>
      </c>
      <c r="J475">
        <f>SUM($I$2:I475)</f>
        <v>25</v>
      </c>
    </row>
    <row r="476" spans="5:10" x14ac:dyDescent="0.25">
      <c r="E476" s="4"/>
      <c r="F476" s="4"/>
      <c r="G476" t="str">
        <f t="shared" si="14"/>
        <v/>
      </c>
      <c r="H476" t="str">
        <f t="shared" si="15"/>
        <v/>
      </c>
      <c r="I476">
        <f>IF(AND(H476&gt;1,COUNTIF($G$2:G476,G476)=1),1,0)</f>
        <v>0</v>
      </c>
      <c r="J476">
        <f>SUM($I$2:I476)</f>
        <v>25</v>
      </c>
    </row>
    <row r="477" spans="5:10" x14ac:dyDescent="0.25">
      <c r="E477" s="4"/>
      <c r="F477" s="4"/>
      <c r="G477" t="str">
        <f t="shared" si="14"/>
        <v/>
      </c>
      <c r="H477" t="str">
        <f t="shared" si="15"/>
        <v/>
      </c>
      <c r="I477">
        <f>IF(AND(H477&gt;1,COUNTIF($G$2:G477,G477)=1),1,0)</f>
        <v>0</v>
      </c>
      <c r="J477">
        <f>SUM($I$2:I477)</f>
        <v>25</v>
      </c>
    </row>
    <row r="478" spans="5:10" x14ac:dyDescent="0.25">
      <c r="E478" s="4"/>
      <c r="F478" s="4"/>
      <c r="G478" t="str">
        <f t="shared" si="14"/>
        <v/>
      </c>
      <c r="H478" t="str">
        <f t="shared" si="15"/>
        <v/>
      </c>
      <c r="I478">
        <f>IF(AND(H478&gt;1,COUNTIF($G$2:G478,G478)=1),1,0)</f>
        <v>0</v>
      </c>
      <c r="J478">
        <f>SUM($I$2:I478)</f>
        <v>25</v>
      </c>
    </row>
    <row r="479" spans="5:10" x14ac:dyDescent="0.25">
      <c r="E479" s="4"/>
      <c r="F479" s="4"/>
      <c r="G479" t="str">
        <f t="shared" si="14"/>
        <v/>
      </c>
      <c r="H479" t="str">
        <f t="shared" si="15"/>
        <v/>
      </c>
      <c r="I479">
        <f>IF(AND(H479&gt;1,COUNTIF($G$2:G479,G479)=1),1,0)</f>
        <v>0</v>
      </c>
      <c r="J479">
        <f>SUM($I$2:I479)</f>
        <v>25</v>
      </c>
    </row>
    <row r="480" spans="5:10" x14ac:dyDescent="0.25">
      <c r="E480" s="4"/>
      <c r="F480" s="4"/>
      <c r="G480" t="str">
        <f t="shared" si="14"/>
        <v/>
      </c>
      <c r="H480" t="str">
        <f t="shared" si="15"/>
        <v/>
      </c>
      <c r="I480">
        <f>IF(AND(H480&gt;1,COUNTIF($G$2:G480,G480)=1),1,0)</f>
        <v>0</v>
      </c>
      <c r="J480">
        <f>SUM($I$2:I480)</f>
        <v>25</v>
      </c>
    </row>
    <row r="481" spans="5:10" x14ac:dyDescent="0.25">
      <c r="E481" s="4"/>
      <c r="F481" s="4"/>
      <c r="G481" t="str">
        <f t="shared" si="14"/>
        <v/>
      </c>
      <c r="H481" t="str">
        <f t="shared" si="15"/>
        <v/>
      </c>
      <c r="I481">
        <f>IF(AND(H481&gt;1,COUNTIF($G$2:G481,G481)=1),1,0)</f>
        <v>0</v>
      </c>
      <c r="J481">
        <f>SUM($I$2:I481)</f>
        <v>25</v>
      </c>
    </row>
    <row r="482" spans="5:10" x14ac:dyDescent="0.25">
      <c r="E482" s="4"/>
      <c r="F482" s="4"/>
      <c r="G482" t="str">
        <f t="shared" si="14"/>
        <v/>
      </c>
      <c r="H482" t="str">
        <f t="shared" si="15"/>
        <v/>
      </c>
      <c r="I482">
        <f>IF(AND(H482&gt;1,COUNTIF($G$2:G482,G482)=1),1,0)</f>
        <v>0</v>
      </c>
      <c r="J482">
        <f>SUM($I$2:I482)</f>
        <v>25</v>
      </c>
    </row>
    <row r="483" spans="5:10" x14ac:dyDescent="0.25">
      <c r="E483" s="4"/>
      <c r="F483" s="4"/>
      <c r="G483" t="str">
        <f t="shared" si="14"/>
        <v/>
      </c>
      <c r="H483" t="str">
        <f t="shared" si="15"/>
        <v/>
      </c>
      <c r="I483">
        <f>IF(AND(H483&gt;1,COUNTIF($G$2:G483,G483)=1),1,0)</f>
        <v>0</v>
      </c>
      <c r="J483">
        <f>SUM($I$2:I483)</f>
        <v>25</v>
      </c>
    </row>
    <row r="484" spans="5:10" x14ac:dyDescent="0.25">
      <c r="E484" s="4"/>
      <c r="F484" s="4"/>
      <c r="G484" t="str">
        <f t="shared" si="14"/>
        <v/>
      </c>
      <c r="H484" t="str">
        <f t="shared" si="15"/>
        <v/>
      </c>
      <c r="I484">
        <f>IF(AND(H484&gt;1,COUNTIF($G$2:G484,G484)=1),1,0)</f>
        <v>0</v>
      </c>
      <c r="J484">
        <f>SUM($I$2:I484)</f>
        <v>25</v>
      </c>
    </row>
    <row r="485" spans="5:10" x14ac:dyDescent="0.25">
      <c r="E485" s="4"/>
      <c r="F485" s="4"/>
      <c r="G485" t="str">
        <f t="shared" si="14"/>
        <v/>
      </c>
      <c r="H485" t="str">
        <f t="shared" si="15"/>
        <v/>
      </c>
      <c r="I485">
        <f>IF(AND(H485&gt;1,COUNTIF($G$2:G485,G485)=1),1,0)</f>
        <v>0</v>
      </c>
      <c r="J485">
        <f>SUM($I$2:I485)</f>
        <v>25</v>
      </c>
    </row>
    <row r="486" spans="5:10" x14ac:dyDescent="0.25">
      <c r="E486" s="4"/>
      <c r="F486" s="4"/>
      <c r="G486" t="str">
        <f t="shared" si="14"/>
        <v/>
      </c>
      <c r="H486" t="str">
        <f t="shared" si="15"/>
        <v/>
      </c>
      <c r="I486">
        <f>IF(AND(H486&gt;1,COUNTIF($G$2:G486,G486)=1),1,0)</f>
        <v>0</v>
      </c>
      <c r="J486">
        <f>SUM($I$2:I486)</f>
        <v>25</v>
      </c>
    </row>
    <row r="487" spans="5:10" x14ac:dyDescent="0.25">
      <c r="E487" s="4"/>
      <c r="F487" s="4"/>
      <c r="G487" t="str">
        <f t="shared" si="14"/>
        <v/>
      </c>
      <c r="H487" t="str">
        <f t="shared" si="15"/>
        <v/>
      </c>
      <c r="I487">
        <f>IF(AND(H487&gt;1,COUNTIF($G$2:G487,G487)=1),1,0)</f>
        <v>0</v>
      </c>
      <c r="J487">
        <f>SUM($I$2:I487)</f>
        <v>25</v>
      </c>
    </row>
    <row r="488" spans="5:10" x14ac:dyDescent="0.25">
      <c r="E488" s="4"/>
      <c r="F488" s="4"/>
      <c r="G488" t="str">
        <f t="shared" si="14"/>
        <v/>
      </c>
      <c r="H488" t="str">
        <f t="shared" si="15"/>
        <v/>
      </c>
      <c r="I488">
        <f>IF(AND(H488&gt;1,COUNTIF($G$2:G488,G488)=1),1,0)</f>
        <v>0</v>
      </c>
      <c r="J488">
        <f>SUM($I$2:I488)</f>
        <v>25</v>
      </c>
    </row>
    <row r="489" spans="5:10" x14ac:dyDescent="0.25">
      <c r="E489" s="4"/>
      <c r="F489" s="4"/>
      <c r="G489" t="str">
        <f t="shared" si="14"/>
        <v/>
      </c>
      <c r="H489" t="str">
        <f t="shared" si="15"/>
        <v/>
      </c>
      <c r="I489">
        <f>IF(AND(H489&gt;1,COUNTIF($G$2:G489,G489)=1),1,0)</f>
        <v>0</v>
      </c>
      <c r="J489">
        <f>SUM($I$2:I489)</f>
        <v>25</v>
      </c>
    </row>
    <row r="490" spans="5:10" x14ac:dyDescent="0.25">
      <c r="E490" s="4"/>
      <c r="F490" s="4"/>
      <c r="G490" t="str">
        <f t="shared" si="14"/>
        <v/>
      </c>
      <c r="H490" t="str">
        <f t="shared" si="15"/>
        <v/>
      </c>
      <c r="I490">
        <f>IF(AND(H490&gt;1,COUNTIF($G$2:G490,G490)=1),1,0)</f>
        <v>0</v>
      </c>
      <c r="J490">
        <f>SUM($I$2:I490)</f>
        <v>25</v>
      </c>
    </row>
    <row r="491" spans="5:10" x14ac:dyDescent="0.25">
      <c r="E491" s="4"/>
      <c r="F491" s="4"/>
      <c r="G491" t="str">
        <f t="shared" si="14"/>
        <v/>
      </c>
      <c r="H491" t="str">
        <f t="shared" si="15"/>
        <v/>
      </c>
      <c r="I491">
        <f>IF(AND(H491&gt;1,COUNTIF($G$2:G491,G491)=1),1,0)</f>
        <v>0</v>
      </c>
      <c r="J491">
        <f>SUM($I$2:I491)</f>
        <v>25</v>
      </c>
    </row>
    <row r="492" spans="5:10" x14ac:dyDescent="0.25">
      <c r="E492" s="4"/>
      <c r="F492" s="4"/>
      <c r="G492" t="str">
        <f t="shared" si="14"/>
        <v/>
      </c>
      <c r="H492" t="str">
        <f t="shared" si="15"/>
        <v/>
      </c>
      <c r="I492">
        <f>IF(AND(H492&gt;1,COUNTIF($G$2:G492,G492)=1),1,0)</f>
        <v>0</v>
      </c>
      <c r="J492">
        <f>SUM($I$2:I492)</f>
        <v>25</v>
      </c>
    </row>
    <row r="493" spans="5:10" x14ac:dyDescent="0.25">
      <c r="E493" s="4"/>
      <c r="F493" s="4"/>
      <c r="G493" t="str">
        <f t="shared" si="14"/>
        <v/>
      </c>
      <c r="H493" t="str">
        <f t="shared" si="15"/>
        <v/>
      </c>
      <c r="I493">
        <f>IF(AND(H493&gt;1,COUNTIF($G$2:G493,G493)=1),1,0)</f>
        <v>0</v>
      </c>
      <c r="J493">
        <f>SUM($I$2:I493)</f>
        <v>25</v>
      </c>
    </row>
    <row r="494" spans="5:10" x14ac:dyDescent="0.25">
      <c r="E494" s="4"/>
      <c r="F494" s="4"/>
      <c r="G494" t="str">
        <f t="shared" si="14"/>
        <v/>
      </c>
      <c r="H494" t="str">
        <f t="shared" si="15"/>
        <v/>
      </c>
      <c r="I494">
        <f>IF(AND(H494&gt;1,COUNTIF($G$2:G494,G494)=1),1,0)</f>
        <v>0</v>
      </c>
      <c r="J494">
        <f>SUM($I$2:I494)</f>
        <v>25</v>
      </c>
    </row>
    <row r="495" spans="5:10" x14ac:dyDescent="0.25">
      <c r="E495" s="4"/>
      <c r="F495" s="4"/>
      <c r="G495" t="str">
        <f t="shared" si="14"/>
        <v/>
      </c>
      <c r="H495" t="str">
        <f t="shared" si="15"/>
        <v/>
      </c>
      <c r="I495">
        <f>IF(AND(H495&gt;1,COUNTIF($G$2:G495,G495)=1),1,0)</f>
        <v>0</v>
      </c>
      <c r="J495">
        <f>SUM($I$2:I495)</f>
        <v>25</v>
      </c>
    </row>
    <row r="496" spans="5:10" x14ac:dyDescent="0.25">
      <c r="E496" s="4"/>
      <c r="F496" s="4"/>
      <c r="G496" t="str">
        <f t="shared" si="14"/>
        <v/>
      </c>
      <c r="H496" t="str">
        <f t="shared" si="15"/>
        <v/>
      </c>
      <c r="I496">
        <f>IF(AND(H496&gt;1,COUNTIF($G$2:G496,G496)=1),1,0)</f>
        <v>0</v>
      </c>
      <c r="J496">
        <f>SUM($I$2:I496)</f>
        <v>25</v>
      </c>
    </row>
    <row r="497" spans="5:10" x14ac:dyDescent="0.25">
      <c r="E497" s="4"/>
      <c r="F497" s="4"/>
      <c r="G497" t="str">
        <f t="shared" si="14"/>
        <v/>
      </c>
      <c r="H497" t="str">
        <f t="shared" si="15"/>
        <v/>
      </c>
      <c r="I497">
        <f>IF(AND(H497&gt;1,COUNTIF($G$2:G497,G497)=1),1,0)</f>
        <v>0</v>
      </c>
      <c r="J497">
        <f>SUM($I$2:I497)</f>
        <v>25</v>
      </c>
    </row>
    <row r="498" spans="5:10" x14ac:dyDescent="0.25">
      <c r="E498" s="4"/>
      <c r="F498" s="4"/>
      <c r="G498" t="str">
        <f t="shared" si="14"/>
        <v/>
      </c>
      <c r="H498" t="str">
        <f t="shared" si="15"/>
        <v/>
      </c>
      <c r="I498">
        <f>IF(AND(H498&gt;1,COUNTIF($G$2:G498,G498)=1),1,0)</f>
        <v>0</v>
      </c>
      <c r="J498">
        <f>SUM($I$2:I498)</f>
        <v>25</v>
      </c>
    </row>
    <row r="499" spans="5:10" x14ac:dyDescent="0.25">
      <c r="E499" s="4"/>
      <c r="F499" s="4"/>
      <c r="G499" t="str">
        <f t="shared" si="14"/>
        <v/>
      </c>
      <c r="H499" t="str">
        <f t="shared" si="15"/>
        <v/>
      </c>
      <c r="I499">
        <f>IF(AND(H499&gt;1,COUNTIF($G$2:G499,G499)=1),1,0)</f>
        <v>0</v>
      </c>
      <c r="J499">
        <f>SUM($I$2:I499)</f>
        <v>25</v>
      </c>
    </row>
    <row r="500" spans="5:10" x14ac:dyDescent="0.25">
      <c r="E500" s="4"/>
      <c r="F500" s="4"/>
      <c r="G500" t="str">
        <f t="shared" si="14"/>
        <v/>
      </c>
      <c r="H500" t="str">
        <f t="shared" si="15"/>
        <v/>
      </c>
      <c r="I500">
        <f>IF(AND(H500&gt;1,COUNTIF($G$2:G500,G500)=1),1,0)</f>
        <v>0</v>
      </c>
      <c r="J500">
        <f>SUM($I$2:I500)</f>
        <v>25</v>
      </c>
    </row>
  </sheetData>
  <conditionalFormatting sqref="B26:B54">
    <cfRule type="duplicateValues" dxfId="0" priority="1"/>
  </conditionalFormatting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69"/>
  <sheetViews>
    <sheetView workbookViewId="0">
      <pane ySplit="1" topLeftCell="A122" activePane="bottomLeft" state="frozen"/>
      <selection pane="bottomLeft" activeCell="F168" sqref="F127:F168"/>
    </sheetView>
  </sheetViews>
  <sheetFormatPr defaultRowHeight="15" x14ac:dyDescent="0.25"/>
  <cols>
    <col min="1" max="1" width="14" customWidth="1"/>
    <col min="2" max="2" width="22" customWidth="1"/>
    <col min="3" max="4" width="14" customWidth="1"/>
    <col min="5" max="5" width="10" customWidth="1"/>
    <col min="6" max="6" width="14" customWidth="1"/>
  </cols>
  <sheetData>
    <row r="1" spans="1:6" s="2" customFormat="1" x14ac:dyDescent="0.25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0</v>
      </c>
    </row>
    <row r="2" spans="1:6" x14ac:dyDescent="0.25">
      <c r="A2" t="s">
        <v>339</v>
      </c>
      <c r="B2" t="s">
        <v>340</v>
      </c>
      <c r="C2" t="s">
        <v>341</v>
      </c>
      <c r="D2" t="s">
        <v>22</v>
      </c>
      <c r="E2">
        <v>1</v>
      </c>
      <c r="F2" t="s">
        <v>43</v>
      </c>
    </row>
    <row r="3" spans="1:6" x14ac:dyDescent="0.25">
      <c r="A3" t="s">
        <v>339</v>
      </c>
      <c r="B3" t="s">
        <v>340</v>
      </c>
      <c r="C3" t="s">
        <v>341</v>
      </c>
      <c r="D3" t="s">
        <v>22</v>
      </c>
      <c r="E3">
        <v>2</v>
      </c>
      <c r="F3" t="s">
        <v>45</v>
      </c>
    </row>
    <row r="4" spans="1:6" x14ac:dyDescent="0.25">
      <c r="A4" t="s">
        <v>339</v>
      </c>
      <c r="B4" t="s">
        <v>340</v>
      </c>
      <c r="C4" t="s">
        <v>341</v>
      </c>
      <c r="D4" t="s">
        <v>22</v>
      </c>
      <c r="E4">
        <v>3</v>
      </c>
      <c r="F4" t="s">
        <v>47</v>
      </c>
    </row>
    <row r="5" spans="1:6" x14ac:dyDescent="0.25">
      <c r="A5" t="s">
        <v>339</v>
      </c>
      <c r="B5" t="s">
        <v>340</v>
      </c>
      <c r="C5" t="s">
        <v>341</v>
      </c>
      <c r="D5" t="s">
        <v>22</v>
      </c>
      <c r="E5">
        <v>4</v>
      </c>
      <c r="F5" t="s">
        <v>49</v>
      </c>
    </row>
    <row r="6" spans="1:6" x14ac:dyDescent="0.25">
      <c r="A6" t="s">
        <v>339</v>
      </c>
      <c r="B6" t="s">
        <v>340</v>
      </c>
      <c r="C6" t="s">
        <v>341</v>
      </c>
      <c r="D6" t="s">
        <v>22</v>
      </c>
      <c r="E6">
        <v>5</v>
      </c>
      <c r="F6" t="s">
        <v>51</v>
      </c>
    </row>
    <row r="7" spans="1:6" x14ac:dyDescent="0.25">
      <c r="A7" t="s">
        <v>339</v>
      </c>
      <c r="B7" t="s">
        <v>340</v>
      </c>
      <c r="C7" t="s">
        <v>341</v>
      </c>
      <c r="D7" t="s">
        <v>22</v>
      </c>
      <c r="E7">
        <v>6</v>
      </c>
      <c r="F7" t="s">
        <v>53</v>
      </c>
    </row>
    <row r="8" spans="1:6" x14ac:dyDescent="0.25">
      <c r="A8" t="s">
        <v>339</v>
      </c>
      <c r="B8" t="s">
        <v>340</v>
      </c>
      <c r="C8" t="s">
        <v>341</v>
      </c>
      <c r="D8" t="s">
        <v>22</v>
      </c>
      <c r="E8">
        <v>7</v>
      </c>
      <c r="F8" t="s">
        <v>55</v>
      </c>
    </row>
    <row r="9" spans="1:6" x14ac:dyDescent="0.25">
      <c r="A9" t="s">
        <v>339</v>
      </c>
      <c r="B9" t="s">
        <v>340</v>
      </c>
      <c r="C9" t="s">
        <v>341</v>
      </c>
      <c r="D9" t="s">
        <v>22</v>
      </c>
      <c r="E9">
        <v>8</v>
      </c>
      <c r="F9" t="s">
        <v>57</v>
      </c>
    </row>
    <row r="10" spans="1:6" x14ac:dyDescent="0.25">
      <c r="A10" t="s">
        <v>339</v>
      </c>
      <c r="B10" t="s">
        <v>340</v>
      </c>
      <c r="C10" t="s">
        <v>341</v>
      </c>
      <c r="D10" t="s">
        <v>22</v>
      </c>
      <c r="E10">
        <v>9</v>
      </c>
      <c r="F10" t="s">
        <v>59</v>
      </c>
    </row>
    <row r="11" spans="1:6" x14ac:dyDescent="0.25">
      <c r="A11" t="s">
        <v>339</v>
      </c>
      <c r="B11" t="s">
        <v>340</v>
      </c>
      <c r="C11" t="s">
        <v>341</v>
      </c>
      <c r="D11" t="s">
        <v>22</v>
      </c>
      <c r="E11">
        <v>10</v>
      </c>
      <c r="F11" t="s">
        <v>61</v>
      </c>
    </row>
    <row r="12" spans="1:6" x14ac:dyDescent="0.25">
      <c r="A12" t="s">
        <v>339</v>
      </c>
      <c r="B12" t="s">
        <v>340</v>
      </c>
      <c r="C12" t="s">
        <v>341</v>
      </c>
      <c r="D12" t="s">
        <v>22</v>
      </c>
      <c r="E12">
        <v>11</v>
      </c>
      <c r="F12" t="s">
        <v>63</v>
      </c>
    </row>
    <row r="13" spans="1:6" x14ac:dyDescent="0.25">
      <c r="A13" t="s">
        <v>339</v>
      </c>
      <c r="B13" t="s">
        <v>340</v>
      </c>
      <c r="C13" t="s">
        <v>341</v>
      </c>
      <c r="D13" t="s">
        <v>22</v>
      </c>
      <c r="E13">
        <v>12</v>
      </c>
      <c r="F13" t="s">
        <v>65</v>
      </c>
    </row>
    <row r="14" spans="1:6" x14ac:dyDescent="0.25">
      <c r="A14" t="s">
        <v>339</v>
      </c>
      <c r="B14" t="s">
        <v>340</v>
      </c>
      <c r="C14" t="s">
        <v>341</v>
      </c>
      <c r="D14" t="s">
        <v>22</v>
      </c>
      <c r="E14">
        <v>13</v>
      </c>
      <c r="F14" t="s">
        <v>67</v>
      </c>
    </row>
    <row r="15" spans="1:6" x14ac:dyDescent="0.25">
      <c r="A15" t="s">
        <v>339</v>
      </c>
      <c r="B15" t="s">
        <v>340</v>
      </c>
      <c r="C15" t="s">
        <v>341</v>
      </c>
      <c r="D15" t="s">
        <v>22</v>
      </c>
      <c r="E15">
        <v>14</v>
      </c>
      <c r="F15" t="s">
        <v>69</v>
      </c>
    </row>
    <row r="16" spans="1:6" x14ac:dyDescent="0.25">
      <c r="A16" t="s">
        <v>339</v>
      </c>
      <c r="B16" t="s">
        <v>340</v>
      </c>
      <c r="C16" t="s">
        <v>341</v>
      </c>
      <c r="D16" t="s">
        <v>22</v>
      </c>
      <c r="E16">
        <v>15</v>
      </c>
      <c r="F16" t="s">
        <v>71</v>
      </c>
    </row>
    <row r="17" spans="1:6" x14ac:dyDescent="0.25">
      <c r="A17" t="s">
        <v>339</v>
      </c>
      <c r="B17" t="s">
        <v>340</v>
      </c>
      <c r="C17" t="s">
        <v>341</v>
      </c>
      <c r="D17" t="s">
        <v>22</v>
      </c>
      <c r="E17">
        <v>16</v>
      </c>
      <c r="F17" t="s">
        <v>73</v>
      </c>
    </row>
    <row r="18" spans="1:6" x14ac:dyDescent="0.25">
      <c r="A18" t="s">
        <v>339</v>
      </c>
      <c r="B18" t="s">
        <v>340</v>
      </c>
      <c r="C18" t="s">
        <v>341</v>
      </c>
      <c r="D18" t="s">
        <v>22</v>
      </c>
      <c r="E18">
        <v>17</v>
      </c>
      <c r="F18" t="s">
        <v>75</v>
      </c>
    </row>
    <row r="19" spans="1:6" x14ac:dyDescent="0.25">
      <c r="A19" t="s">
        <v>339</v>
      </c>
      <c r="B19" t="s">
        <v>340</v>
      </c>
      <c r="C19" t="s">
        <v>341</v>
      </c>
      <c r="D19" t="s">
        <v>22</v>
      </c>
      <c r="E19">
        <v>18</v>
      </c>
      <c r="F19" t="s">
        <v>77</v>
      </c>
    </row>
    <row r="20" spans="1:6" x14ac:dyDescent="0.25">
      <c r="A20" t="s">
        <v>339</v>
      </c>
      <c r="B20" t="s">
        <v>340</v>
      </c>
      <c r="C20" t="s">
        <v>341</v>
      </c>
      <c r="D20" t="s">
        <v>22</v>
      </c>
      <c r="E20">
        <v>19</v>
      </c>
      <c r="F20" t="s">
        <v>79</v>
      </c>
    </row>
    <row r="21" spans="1:6" x14ac:dyDescent="0.25">
      <c r="A21" t="s">
        <v>339</v>
      </c>
      <c r="B21" t="s">
        <v>340</v>
      </c>
      <c r="C21" t="s">
        <v>341</v>
      </c>
      <c r="D21" t="s">
        <v>22</v>
      </c>
      <c r="E21">
        <v>20</v>
      </c>
      <c r="F21" t="s">
        <v>81</v>
      </c>
    </row>
    <row r="22" spans="1:6" x14ac:dyDescent="0.25">
      <c r="A22" t="s">
        <v>339</v>
      </c>
      <c r="B22" t="s">
        <v>340</v>
      </c>
      <c r="C22" t="s">
        <v>341</v>
      </c>
      <c r="D22" t="s">
        <v>22</v>
      </c>
      <c r="E22">
        <v>21</v>
      </c>
      <c r="F22" t="s">
        <v>83</v>
      </c>
    </row>
    <row r="23" spans="1:6" x14ac:dyDescent="0.25">
      <c r="A23" t="s">
        <v>339</v>
      </c>
      <c r="B23" t="s">
        <v>340</v>
      </c>
      <c r="C23" t="s">
        <v>341</v>
      </c>
      <c r="D23" t="s">
        <v>22</v>
      </c>
      <c r="E23">
        <v>22</v>
      </c>
      <c r="F23" t="s">
        <v>85</v>
      </c>
    </row>
    <row r="24" spans="1:6" x14ac:dyDescent="0.25">
      <c r="A24" t="s">
        <v>339</v>
      </c>
      <c r="B24" t="s">
        <v>340</v>
      </c>
      <c r="C24" t="s">
        <v>341</v>
      </c>
      <c r="D24" t="s">
        <v>22</v>
      </c>
      <c r="E24">
        <v>23</v>
      </c>
      <c r="F24" t="s">
        <v>87</v>
      </c>
    </row>
    <row r="25" spans="1:6" x14ac:dyDescent="0.25">
      <c r="A25" t="s">
        <v>339</v>
      </c>
      <c r="B25" t="s">
        <v>340</v>
      </c>
      <c r="C25" t="s">
        <v>341</v>
      </c>
      <c r="D25" t="s">
        <v>22</v>
      </c>
      <c r="E25">
        <v>24</v>
      </c>
      <c r="F25" t="s">
        <v>89</v>
      </c>
    </row>
    <row r="26" spans="1:6" x14ac:dyDescent="0.25">
      <c r="A26" t="s">
        <v>342</v>
      </c>
      <c r="B26" t="s">
        <v>343</v>
      </c>
      <c r="C26" t="s">
        <v>344</v>
      </c>
      <c r="D26" t="s">
        <v>22</v>
      </c>
      <c r="E26">
        <v>1</v>
      </c>
      <c r="F26" t="s">
        <v>91</v>
      </c>
    </row>
    <row r="27" spans="1:6" x14ac:dyDescent="0.25">
      <c r="A27" t="s">
        <v>342</v>
      </c>
      <c r="B27" t="s">
        <v>343</v>
      </c>
      <c r="C27" t="s">
        <v>344</v>
      </c>
      <c r="D27" t="s">
        <v>22</v>
      </c>
      <c r="E27">
        <v>2</v>
      </c>
      <c r="F27" t="s">
        <v>93</v>
      </c>
    </row>
    <row r="28" spans="1:6" x14ac:dyDescent="0.25">
      <c r="A28" t="s">
        <v>342</v>
      </c>
      <c r="B28" t="s">
        <v>343</v>
      </c>
      <c r="C28" t="s">
        <v>344</v>
      </c>
      <c r="D28" t="s">
        <v>22</v>
      </c>
      <c r="E28">
        <v>3</v>
      </c>
      <c r="F28" t="s">
        <v>95</v>
      </c>
    </row>
    <row r="29" spans="1:6" x14ac:dyDescent="0.25">
      <c r="A29" t="s">
        <v>342</v>
      </c>
      <c r="B29" t="s">
        <v>343</v>
      </c>
      <c r="C29" t="s">
        <v>344</v>
      </c>
      <c r="D29" t="s">
        <v>22</v>
      </c>
      <c r="E29">
        <v>4</v>
      </c>
      <c r="F29" t="s">
        <v>97</v>
      </c>
    </row>
    <row r="30" spans="1:6" x14ac:dyDescent="0.25">
      <c r="A30" t="s">
        <v>342</v>
      </c>
      <c r="B30" t="s">
        <v>343</v>
      </c>
      <c r="C30" t="s">
        <v>344</v>
      </c>
      <c r="D30" t="s">
        <v>22</v>
      </c>
      <c r="E30">
        <v>5</v>
      </c>
      <c r="F30" t="s">
        <v>99</v>
      </c>
    </row>
    <row r="31" spans="1:6" x14ac:dyDescent="0.25">
      <c r="A31" t="s">
        <v>342</v>
      </c>
      <c r="B31" t="s">
        <v>343</v>
      </c>
      <c r="C31" t="s">
        <v>344</v>
      </c>
      <c r="D31" t="s">
        <v>22</v>
      </c>
      <c r="E31">
        <v>6</v>
      </c>
      <c r="F31" t="s">
        <v>100</v>
      </c>
    </row>
    <row r="32" spans="1:6" x14ac:dyDescent="0.25">
      <c r="A32" t="s">
        <v>342</v>
      </c>
      <c r="B32" t="s">
        <v>343</v>
      </c>
      <c r="C32" t="s">
        <v>344</v>
      </c>
      <c r="D32" t="s">
        <v>22</v>
      </c>
      <c r="E32">
        <v>7</v>
      </c>
      <c r="F32" t="s">
        <v>102</v>
      </c>
    </row>
    <row r="33" spans="1:6" x14ac:dyDescent="0.25">
      <c r="A33" t="s">
        <v>342</v>
      </c>
      <c r="B33" t="s">
        <v>343</v>
      </c>
      <c r="C33" t="s">
        <v>344</v>
      </c>
      <c r="D33" t="s">
        <v>22</v>
      </c>
      <c r="E33">
        <v>8</v>
      </c>
      <c r="F33" t="s">
        <v>104</v>
      </c>
    </row>
    <row r="34" spans="1:6" x14ac:dyDescent="0.25">
      <c r="A34" t="s">
        <v>342</v>
      </c>
      <c r="B34" t="s">
        <v>343</v>
      </c>
      <c r="C34" t="s">
        <v>344</v>
      </c>
      <c r="D34" t="s">
        <v>22</v>
      </c>
      <c r="E34">
        <v>9</v>
      </c>
      <c r="F34" t="s">
        <v>106</v>
      </c>
    </row>
    <row r="35" spans="1:6" x14ac:dyDescent="0.25">
      <c r="A35" t="s">
        <v>342</v>
      </c>
      <c r="B35" t="s">
        <v>343</v>
      </c>
      <c r="C35" t="s">
        <v>344</v>
      </c>
      <c r="D35" t="s">
        <v>22</v>
      </c>
      <c r="E35">
        <v>10</v>
      </c>
      <c r="F35" t="s">
        <v>108</v>
      </c>
    </row>
    <row r="36" spans="1:6" x14ac:dyDescent="0.25">
      <c r="A36" t="s">
        <v>342</v>
      </c>
      <c r="B36" t="s">
        <v>343</v>
      </c>
      <c r="C36" t="s">
        <v>344</v>
      </c>
      <c r="D36" t="s">
        <v>22</v>
      </c>
      <c r="E36">
        <v>11</v>
      </c>
      <c r="F36" t="s">
        <v>110</v>
      </c>
    </row>
    <row r="37" spans="1:6" x14ac:dyDescent="0.25">
      <c r="A37" t="s">
        <v>342</v>
      </c>
      <c r="B37" t="s">
        <v>343</v>
      </c>
      <c r="C37" t="s">
        <v>344</v>
      </c>
      <c r="D37" t="s">
        <v>22</v>
      </c>
      <c r="E37">
        <v>12</v>
      </c>
      <c r="F37" t="s">
        <v>112</v>
      </c>
    </row>
    <row r="38" spans="1:6" x14ac:dyDescent="0.25">
      <c r="A38" t="s">
        <v>342</v>
      </c>
      <c r="B38" t="s">
        <v>343</v>
      </c>
      <c r="C38" t="s">
        <v>344</v>
      </c>
      <c r="D38" t="s">
        <v>22</v>
      </c>
      <c r="E38">
        <v>13</v>
      </c>
      <c r="F38" t="s">
        <v>114</v>
      </c>
    </row>
    <row r="39" spans="1:6" x14ac:dyDescent="0.25">
      <c r="A39" t="s">
        <v>342</v>
      </c>
      <c r="B39" t="s">
        <v>343</v>
      </c>
      <c r="C39" t="s">
        <v>344</v>
      </c>
      <c r="D39" t="s">
        <v>22</v>
      </c>
      <c r="E39">
        <v>14</v>
      </c>
      <c r="F39" t="s">
        <v>116</v>
      </c>
    </row>
    <row r="40" spans="1:6" x14ac:dyDescent="0.25">
      <c r="A40" t="s">
        <v>342</v>
      </c>
      <c r="B40" t="s">
        <v>343</v>
      </c>
      <c r="C40" t="s">
        <v>344</v>
      </c>
      <c r="D40" t="s">
        <v>22</v>
      </c>
      <c r="E40">
        <v>15</v>
      </c>
      <c r="F40" t="s">
        <v>118</v>
      </c>
    </row>
    <row r="41" spans="1:6" x14ac:dyDescent="0.25">
      <c r="A41" t="s">
        <v>342</v>
      </c>
      <c r="B41" t="s">
        <v>343</v>
      </c>
      <c r="C41" t="s">
        <v>344</v>
      </c>
      <c r="D41" t="s">
        <v>22</v>
      </c>
      <c r="E41">
        <v>16</v>
      </c>
      <c r="F41" t="s">
        <v>120</v>
      </c>
    </row>
    <row r="42" spans="1:6" x14ac:dyDescent="0.25">
      <c r="A42" t="s">
        <v>342</v>
      </c>
      <c r="B42" t="s">
        <v>343</v>
      </c>
      <c r="C42" t="s">
        <v>344</v>
      </c>
      <c r="D42" t="s">
        <v>22</v>
      </c>
      <c r="E42">
        <v>17</v>
      </c>
      <c r="F42" t="s">
        <v>122</v>
      </c>
    </row>
    <row r="43" spans="1:6" x14ac:dyDescent="0.25">
      <c r="A43" t="s">
        <v>342</v>
      </c>
      <c r="B43" t="s">
        <v>343</v>
      </c>
      <c r="C43" t="s">
        <v>344</v>
      </c>
      <c r="D43" t="s">
        <v>22</v>
      </c>
      <c r="E43">
        <v>18</v>
      </c>
      <c r="F43" t="s">
        <v>124</v>
      </c>
    </row>
    <row r="44" spans="1:6" x14ac:dyDescent="0.25">
      <c r="A44" t="s">
        <v>342</v>
      </c>
      <c r="B44" t="s">
        <v>343</v>
      </c>
      <c r="C44" t="s">
        <v>344</v>
      </c>
      <c r="D44" t="s">
        <v>22</v>
      </c>
      <c r="E44">
        <v>19</v>
      </c>
      <c r="F44" t="s">
        <v>126</v>
      </c>
    </row>
    <row r="45" spans="1:6" x14ac:dyDescent="0.25">
      <c r="A45" t="s">
        <v>342</v>
      </c>
      <c r="B45" t="s">
        <v>343</v>
      </c>
      <c r="C45" t="s">
        <v>344</v>
      </c>
      <c r="D45" t="s">
        <v>22</v>
      </c>
      <c r="E45">
        <v>20</v>
      </c>
      <c r="F45" t="s">
        <v>128</v>
      </c>
    </row>
    <row r="46" spans="1:6" x14ac:dyDescent="0.25">
      <c r="A46" t="s">
        <v>342</v>
      </c>
      <c r="B46" t="s">
        <v>343</v>
      </c>
      <c r="C46" t="s">
        <v>344</v>
      </c>
      <c r="D46" t="s">
        <v>22</v>
      </c>
      <c r="E46">
        <v>21</v>
      </c>
      <c r="F46" t="s">
        <v>130</v>
      </c>
    </row>
    <row r="47" spans="1:6" x14ac:dyDescent="0.25">
      <c r="A47" t="s">
        <v>342</v>
      </c>
      <c r="B47" t="s">
        <v>343</v>
      </c>
      <c r="C47" t="s">
        <v>344</v>
      </c>
      <c r="D47" t="s">
        <v>22</v>
      </c>
      <c r="E47">
        <v>22</v>
      </c>
      <c r="F47" t="s">
        <v>132</v>
      </c>
    </row>
    <row r="48" spans="1:6" x14ac:dyDescent="0.25">
      <c r="A48" t="s">
        <v>342</v>
      </c>
      <c r="B48" t="s">
        <v>343</v>
      </c>
      <c r="C48" t="s">
        <v>344</v>
      </c>
      <c r="D48" t="s">
        <v>22</v>
      </c>
      <c r="E48">
        <v>24</v>
      </c>
      <c r="F48" t="s">
        <v>136</v>
      </c>
    </row>
    <row r="49" spans="1:6" x14ac:dyDescent="0.25">
      <c r="A49" t="s">
        <v>342</v>
      </c>
      <c r="B49" t="s">
        <v>343</v>
      </c>
      <c r="C49" t="s">
        <v>344</v>
      </c>
      <c r="D49" t="s">
        <v>22</v>
      </c>
      <c r="E49">
        <v>25</v>
      </c>
      <c r="F49" t="s">
        <v>138</v>
      </c>
    </row>
    <row r="50" spans="1:6" x14ac:dyDescent="0.25">
      <c r="A50" t="s">
        <v>342</v>
      </c>
      <c r="B50" t="s">
        <v>343</v>
      </c>
      <c r="C50" t="s">
        <v>344</v>
      </c>
      <c r="D50" t="s">
        <v>22</v>
      </c>
      <c r="E50">
        <v>26</v>
      </c>
      <c r="F50" t="s">
        <v>140</v>
      </c>
    </row>
    <row r="51" spans="1:6" x14ac:dyDescent="0.25">
      <c r="A51" t="s">
        <v>342</v>
      </c>
      <c r="B51" t="s">
        <v>343</v>
      </c>
      <c r="C51" t="s">
        <v>344</v>
      </c>
      <c r="D51" t="s">
        <v>22</v>
      </c>
      <c r="E51">
        <v>27</v>
      </c>
      <c r="F51" t="s">
        <v>142</v>
      </c>
    </row>
    <row r="52" spans="1:6" x14ac:dyDescent="0.25">
      <c r="A52" t="s">
        <v>342</v>
      </c>
      <c r="B52" t="s">
        <v>343</v>
      </c>
      <c r="C52" t="s">
        <v>344</v>
      </c>
      <c r="D52" t="s">
        <v>22</v>
      </c>
      <c r="E52">
        <v>28</v>
      </c>
      <c r="F52" t="s">
        <v>144</v>
      </c>
    </row>
    <row r="53" spans="1:6" x14ac:dyDescent="0.25">
      <c r="A53" t="s">
        <v>342</v>
      </c>
      <c r="B53" t="s">
        <v>343</v>
      </c>
      <c r="C53" t="s">
        <v>344</v>
      </c>
      <c r="D53" t="s">
        <v>22</v>
      </c>
      <c r="E53">
        <v>29</v>
      </c>
      <c r="F53" t="s">
        <v>146</v>
      </c>
    </row>
    <row r="54" spans="1:6" x14ac:dyDescent="0.25">
      <c r="A54" t="s">
        <v>342</v>
      </c>
      <c r="B54" t="s">
        <v>343</v>
      </c>
      <c r="C54" t="s">
        <v>345</v>
      </c>
      <c r="D54" t="s">
        <v>346</v>
      </c>
      <c r="E54">
        <v>1</v>
      </c>
      <c r="F54" t="s">
        <v>132</v>
      </c>
    </row>
    <row r="55" spans="1:6" x14ac:dyDescent="0.25">
      <c r="A55" t="s">
        <v>342</v>
      </c>
      <c r="B55" t="s">
        <v>343</v>
      </c>
      <c r="C55" t="s">
        <v>345</v>
      </c>
      <c r="D55" t="s">
        <v>346</v>
      </c>
      <c r="E55">
        <v>2</v>
      </c>
      <c r="F55" t="s">
        <v>134</v>
      </c>
    </row>
    <row r="56" spans="1:6" x14ac:dyDescent="0.25">
      <c r="A56" t="s">
        <v>347</v>
      </c>
      <c r="B56" t="s">
        <v>348</v>
      </c>
      <c r="C56" t="s">
        <v>349</v>
      </c>
      <c r="D56" t="s">
        <v>22</v>
      </c>
      <c r="E56">
        <v>1</v>
      </c>
      <c r="F56" t="s">
        <v>10</v>
      </c>
    </row>
    <row r="57" spans="1:6" x14ac:dyDescent="0.25">
      <c r="A57" t="s">
        <v>347</v>
      </c>
      <c r="B57" t="s">
        <v>348</v>
      </c>
      <c r="C57" t="s">
        <v>349</v>
      </c>
      <c r="D57" t="s">
        <v>22</v>
      </c>
      <c r="E57">
        <v>2</v>
      </c>
      <c r="F57" t="s">
        <v>11</v>
      </c>
    </row>
    <row r="58" spans="1:6" x14ac:dyDescent="0.25">
      <c r="A58" t="s">
        <v>347</v>
      </c>
      <c r="B58" t="s">
        <v>348</v>
      </c>
      <c r="C58" t="s">
        <v>349</v>
      </c>
      <c r="D58" t="s">
        <v>22</v>
      </c>
      <c r="E58">
        <v>3</v>
      </c>
      <c r="F58" t="s">
        <v>12</v>
      </c>
    </row>
    <row r="59" spans="1:6" x14ac:dyDescent="0.25">
      <c r="A59" t="s">
        <v>347</v>
      </c>
      <c r="B59" t="s">
        <v>348</v>
      </c>
      <c r="C59" t="s">
        <v>349</v>
      </c>
      <c r="D59" t="s">
        <v>22</v>
      </c>
      <c r="E59">
        <v>4</v>
      </c>
      <c r="F59" t="s">
        <v>13</v>
      </c>
    </row>
    <row r="60" spans="1:6" x14ac:dyDescent="0.25">
      <c r="A60" t="s">
        <v>347</v>
      </c>
      <c r="B60" t="s">
        <v>348</v>
      </c>
      <c r="C60" t="s">
        <v>349</v>
      </c>
      <c r="D60" t="s">
        <v>22</v>
      </c>
      <c r="E60">
        <v>5</v>
      </c>
      <c r="F60" t="s">
        <v>14</v>
      </c>
    </row>
    <row r="61" spans="1:6" x14ac:dyDescent="0.25">
      <c r="A61" t="s">
        <v>347</v>
      </c>
      <c r="B61" t="s">
        <v>348</v>
      </c>
      <c r="C61" t="s">
        <v>349</v>
      </c>
      <c r="D61" t="s">
        <v>22</v>
      </c>
      <c r="E61">
        <v>6</v>
      </c>
      <c r="F61" t="s">
        <v>26</v>
      </c>
    </row>
    <row r="62" spans="1:6" x14ac:dyDescent="0.25">
      <c r="A62" t="s">
        <v>347</v>
      </c>
      <c r="B62" t="s">
        <v>348</v>
      </c>
      <c r="C62" t="s">
        <v>349</v>
      </c>
      <c r="D62" t="s">
        <v>22</v>
      </c>
      <c r="E62">
        <v>7</v>
      </c>
      <c r="F62" t="s">
        <v>16</v>
      </c>
    </row>
    <row r="63" spans="1:6" x14ac:dyDescent="0.25">
      <c r="A63" t="s">
        <v>347</v>
      </c>
      <c r="B63" t="s">
        <v>348</v>
      </c>
      <c r="C63" t="s">
        <v>349</v>
      </c>
      <c r="D63" t="s">
        <v>22</v>
      </c>
      <c r="E63">
        <v>8</v>
      </c>
      <c r="F63" t="s">
        <v>157</v>
      </c>
    </row>
    <row r="64" spans="1:6" x14ac:dyDescent="0.25">
      <c r="A64" t="s">
        <v>347</v>
      </c>
      <c r="B64" t="s">
        <v>348</v>
      </c>
      <c r="C64" t="s">
        <v>349</v>
      </c>
      <c r="D64" t="s">
        <v>22</v>
      </c>
      <c r="E64">
        <v>9</v>
      </c>
      <c r="F64" t="s">
        <v>159</v>
      </c>
    </row>
    <row r="65" spans="1:6" x14ac:dyDescent="0.25">
      <c r="A65" t="s">
        <v>347</v>
      </c>
      <c r="B65" t="s">
        <v>348</v>
      </c>
      <c r="C65" t="s">
        <v>349</v>
      </c>
      <c r="D65" t="s">
        <v>22</v>
      </c>
      <c r="E65">
        <v>10</v>
      </c>
      <c r="F65" t="s">
        <v>161</v>
      </c>
    </row>
    <row r="66" spans="1:6" x14ac:dyDescent="0.25">
      <c r="A66" t="s">
        <v>347</v>
      </c>
      <c r="B66" t="s">
        <v>348</v>
      </c>
      <c r="C66" t="s">
        <v>349</v>
      </c>
      <c r="D66" t="s">
        <v>22</v>
      </c>
      <c r="E66">
        <v>11</v>
      </c>
      <c r="F66" t="s">
        <v>162</v>
      </c>
    </row>
    <row r="67" spans="1:6" x14ac:dyDescent="0.25">
      <c r="A67" t="s">
        <v>347</v>
      </c>
      <c r="B67" t="s">
        <v>348</v>
      </c>
      <c r="C67" t="s">
        <v>349</v>
      </c>
      <c r="D67" t="s">
        <v>22</v>
      </c>
      <c r="E67">
        <v>12</v>
      </c>
      <c r="F67" t="s">
        <v>164</v>
      </c>
    </row>
    <row r="68" spans="1:6" x14ac:dyDescent="0.25">
      <c r="A68" t="s">
        <v>347</v>
      </c>
      <c r="B68" t="s">
        <v>348</v>
      </c>
      <c r="C68" t="s">
        <v>349</v>
      </c>
      <c r="D68" t="s">
        <v>22</v>
      </c>
      <c r="E68">
        <v>13</v>
      </c>
      <c r="F68" t="s">
        <v>166</v>
      </c>
    </row>
    <row r="69" spans="1:6" x14ac:dyDescent="0.25">
      <c r="A69" t="s">
        <v>347</v>
      </c>
      <c r="B69" t="s">
        <v>348</v>
      </c>
      <c r="C69" t="s">
        <v>349</v>
      </c>
      <c r="D69" t="s">
        <v>22</v>
      </c>
      <c r="E69">
        <v>14</v>
      </c>
      <c r="F69" t="s">
        <v>168</v>
      </c>
    </row>
    <row r="70" spans="1:6" x14ac:dyDescent="0.25">
      <c r="A70" t="s">
        <v>347</v>
      </c>
      <c r="B70" t="s">
        <v>348</v>
      </c>
      <c r="C70" t="s">
        <v>349</v>
      </c>
      <c r="D70" t="s">
        <v>22</v>
      </c>
      <c r="E70">
        <v>15</v>
      </c>
      <c r="F70" t="s">
        <v>169</v>
      </c>
    </row>
    <row r="71" spans="1:6" x14ac:dyDescent="0.25">
      <c r="A71" t="s">
        <v>347</v>
      </c>
      <c r="B71" t="s">
        <v>348</v>
      </c>
      <c r="C71" t="s">
        <v>349</v>
      </c>
      <c r="D71" t="s">
        <v>22</v>
      </c>
      <c r="E71">
        <v>16</v>
      </c>
      <c r="F71" t="s">
        <v>171</v>
      </c>
    </row>
    <row r="72" spans="1:6" x14ac:dyDescent="0.25">
      <c r="A72" t="s">
        <v>347</v>
      </c>
      <c r="B72" t="s">
        <v>348</v>
      </c>
      <c r="C72" t="s">
        <v>349</v>
      </c>
      <c r="D72" t="s">
        <v>22</v>
      </c>
      <c r="E72">
        <v>17</v>
      </c>
      <c r="F72" t="s">
        <v>172</v>
      </c>
    </row>
    <row r="73" spans="1:6" x14ac:dyDescent="0.25">
      <c r="A73" t="s">
        <v>347</v>
      </c>
      <c r="B73" t="s">
        <v>348</v>
      </c>
      <c r="C73" t="s">
        <v>349</v>
      </c>
      <c r="D73" t="s">
        <v>22</v>
      </c>
      <c r="E73">
        <v>18</v>
      </c>
      <c r="F73" t="s">
        <v>174</v>
      </c>
    </row>
    <row r="74" spans="1:6" x14ac:dyDescent="0.25">
      <c r="A74" t="s">
        <v>347</v>
      </c>
      <c r="B74" t="s">
        <v>348</v>
      </c>
      <c r="C74" t="s">
        <v>349</v>
      </c>
      <c r="D74" t="s">
        <v>22</v>
      </c>
      <c r="E74">
        <v>19</v>
      </c>
      <c r="F74" t="s">
        <v>176</v>
      </c>
    </row>
    <row r="75" spans="1:6" x14ac:dyDescent="0.25">
      <c r="A75" t="s">
        <v>347</v>
      </c>
      <c r="B75" t="s">
        <v>348</v>
      </c>
      <c r="C75" t="s">
        <v>350</v>
      </c>
      <c r="D75" t="s">
        <v>346</v>
      </c>
      <c r="E75">
        <v>1</v>
      </c>
      <c r="F75" t="s">
        <v>12</v>
      </c>
    </row>
    <row r="76" spans="1:6" x14ac:dyDescent="0.25">
      <c r="A76" t="s">
        <v>347</v>
      </c>
      <c r="B76" t="s">
        <v>348</v>
      </c>
      <c r="C76" t="s">
        <v>350</v>
      </c>
      <c r="D76" t="s">
        <v>346</v>
      </c>
      <c r="E76">
        <v>2</v>
      </c>
      <c r="F76" t="s">
        <v>151</v>
      </c>
    </row>
    <row r="77" spans="1:6" x14ac:dyDescent="0.25">
      <c r="A77" t="s">
        <v>351</v>
      </c>
      <c r="B77" t="s">
        <v>352</v>
      </c>
      <c r="C77" t="s">
        <v>353</v>
      </c>
      <c r="D77" t="s">
        <v>22</v>
      </c>
      <c r="E77">
        <v>1</v>
      </c>
      <c r="F77" t="s">
        <v>178</v>
      </c>
    </row>
    <row r="78" spans="1:6" x14ac:dyDescent="0.25">
      <c r="A78" t="s">
        <v>351</v>
      </c>
      <c r="B78" t="s">
        <v>352</v>
      </c>
      <c r="C78" t="s">
        <v>353</v>
      </c>
      <c r="D78" t="s">
        <v>22</v>
      </c>
      <c r="E78">
        <v>2</v>
      </c>
      <c r="F78" t="s">
        <v>180</v>
      </c>
    </row>
    <row r="79" spans="1:6" x14ac:dyDescent="0.25">
      <c r="A79" t="s">
        <v>351</v>
      </c>
      <c r="B79" t="s">
        <v>352</v>
      </c>
      <c r="C79" t="s">
        <v>353</v>
      </c>
      <c r="D79" t="s">
        <v>22</v>
      </c>
      <c r="E79">
        <v>3</v>
      </c>
      <c r="F79" t="s">
        <v>182</v>
      </c>
    </row>
    <row r="80" spans="1:6" x14ac:dyDescent="0.25">
      <c r="A80" t="s">
        <v>351</v>
      </c>
      <c r="B80" t="s">
        <v>352</v>
      </c>
      <c r="C80" t="s">
        <v>353</v>
      </c>
      <c r="D80" t="s">
        <v>22</v>
      </c>
      <c r="E80">
        <v>4</v>
      </c>
      <c r="F80" t="s">
        <v>184</v>
      </c>
    </row>
    <row r="81" spans="1:6" x14ac:dyDescent="0.25">
      <c r="A81" t="s">
        <v>351</v>
      </c>
      <c r="B81" t="s">
        <v>352</v>
      </c>
      <c r="C81" t="s">
        <v>353</v>
      </c>
      <c r="D81" t="s">
        <v>22</v>
      </c>
      <c r="E81">
        <v>5</v>
      </c>
      <c r="F81" t="s">
        <v>186</v>
      </c>
    </row>
    <row r="82" spans="1:6" x14ac:dyDescent="0.25">
      <c r="A82" t="s">
        <v>351</v>
      </c>
      <c r="B82" t="s">
        <v>352</v>
      </c>
      <c r="C82" t="s">
        <v>353</v>
      </c>
      <c r="D82" t="s">
        <v>22</v>
      </c>
      <c r="E82">
        <v>6</v>
      </c>
      <c r="F82" t="s">
        <v>187</v>
      </c>
    </row>
    <row r="83" spans="1:6" x14ac:dyDescent="0.25">
      <c r="A83" t="s">
        <v>351</v>
      </c>
      <c r="B83" t="s">
        <v>352</v>
      </c>
      <c r="C83" t="s">
        <v>353</v>
      </c>
      <c r="D83" t="s">
        <v>22</v>
      </c>
      <c r="E83">
        <v>7</v>
      </c>
      <c r="F83" t="s">
        <v>188</v>
      </c>
    </row>
    <row r="84" spans="1:6" x14ac:dyDescent="0.25">
      <c r="A84" t="s">
        <v>351</v>
      </c>
      <c r="B84" t="s">
        <v>352</v>
      </c>
      <c r="C84" t="s">
        <v>353</v>
      </c>
      <c r="D84" t="s">
        <v>22</v>
      </c>
      <c r="E84">
        <v>8</v>
      </c>
      <c r="F84" t="s">
        <v>190</v>
      </c>
    </row>
    <row r="85" spans="1:6" x14ac:dyDescent="0.25">
      <c r="A85" t="s">
        <v>351</v>
      </c>
      <c r="B85" t="s">
        <v>352</v>
      </c>
      <c r="C85" t="s">
        <v>353</v>
      </c>
      <c r="D85" t="s">
        <v>22</v>
      </c>
      <c r="E85">
        <v>9</v>
      </c>
      <c r="F85" t="s">
        <v>191</v>
      </c>
    </row>
    <row r="86" spans="1:6" x14ac:dyDescent="0.25">
      <c r="A86" t="s">
        <v>351</v>
      </c>
      <c r="B86" t="s">
        <v>352</v>
      </c>
      <c r="C86" t="s">
        <v>353</v>
      </c>
      <c r="D86" t="s">
        <v>22</v>
      </c>
      <c r="E86">
        <v>10</v>
      </c>
      <c r="F86" t="s">
        <v>193</v>
      </c>
    </row>
    <row r="87" spans="1:6" x14ac:dyDescent="0.25">
      <c r="A87" t="s">
        <v>351</v>
      </c>
      <c r="B87" t="s">
        <v>352</v>
      </c>
      <c r="C87" t="s">
        <v>353</v>
      </c>
      <c r="D87" t="s">
        <v>22</v>
      </c>
      <c r="E87">
        <v>11</v>
      </c>
      <c r="F87" t="s">
        <v>195</v>
      </c>
    </row>
    <row r="88" spans="1:6" x14ac:dyDescent="0.25">
      <c r="A88" t="s">
        <v>351</v>
      </c>
      <c r="B88" t="s">
        <v>352</v>
      </c>
      <c r="C88" t="s">
        <v>353</v>
      </c>
      <c r="D88" t="s">
        <v>22</v>
      </c>
      <c r="E88">
        <v>12</v>
      </c>
      <c r="F88" t="s">
        <v>196</v>
      </c>
    </row>
    <row r="89" spans="1:6" x14ac:dyDescent="0.25">
      <c r="A89" t="s">
        <v>351</v>
      </c>
      <c r="B89" t="s">
        <v>352</v>
      </c>
      <c r="C89" t="s">
        <v>353</v>
      </c>
      <c r="D89" t="s">
        <v>22</v>
      </c>
      <c r="E89">
        <v>13</v>
      </c>
      <c r="F89" t="s">
        <v>198</v>
      </c>
    </row>
    <row r="90" spans="1:6" x14ac:dyDescent="0.25">
      <c r="A90" t="s">
        <v>351</v>
      </c>
      <c r="B90" t="s">
        <v>352</v>
      </c>
      <c r="C90" t="s">
        <v>353</v>
      </c>
      <c r="D90" t="s">
        <v>22</v>
      </c>
      <c r="E90">
        <v>14</v>
      </c>
      <c r="F90" t="s">
        <v>200</v>
      </c>
    </row>
    <row r="91" spans="1:6" x14ac:dyDescent="0.25">
      <c r="A91" t="s">
        <v>351</v>
      </c>
      <c r="B91" t="s">
        <v>352</v>
      </c>
      <c r="C91" t="s">
        <v>353</v>
      </c>
      <c r="D91" t="s">
        <v>22</v>
      </c>
      <c r="E91">
        <v>15</v>
      </c>
      <c r="F91" t="s">
        <v>202</v>
      </c>
    </row>
    <row r="92" spans="1:6" x14ac:dyDescent="0.25">
      <c r="A92" t="s">
        <v>351</v>
      </c>
      <c r="B92" t="s">
        <v>352</v>
      </c>
      <c r="C92" t="s">
        <v>353</v>
      </c>
      <c r="D92" t="s">
        <v>22</v>
      </c>
      <c r="E92">
        <v>16</v>
      </c>
      <c r="F92" t="s">
        <v>204</v>
      </c>
    </row>
    <row r="93" spans="1:6" x14ac:dyDescent="0.25">
      <c r="A93" t="s">
        <v>351</v>
      </c>
      <c r="B93" t="s">
        <v>352</v>
      </c>
      <c r="C93" t="s">
        <v>353</v>
      </c>
      <c r="D93" t="s">
        <v>22</v>
      </c>
      <c r="E93">
        <v>17</v>
      </c>
      <c r="F93" t="s">
        <v>206</v>
      </c>
    </row>
    <row r="94" spans="1:6" x14ac:dyDescent="0.25">
      <c r="A94" t="s">
        <v>351</v>
      </c>
      <c r="B94" t="s">
        <v>352</v>
      </c>
      <c r="C94" t="s">
        <v>353</v>
      </c>
      <c r="D94" t="s">
        <v>22</v>
      </c>
      <c r="E94">
        <v>18</v>
      </c>
      <c r="F94" t="s">
        <v>208</v>
      </c>
    </row>
    <row r="95" spans="1:6" x14ac:dyDescent="0.25">
      <c r="A95" t="s">
        <v>351</v>
      </c>
      <c r="B95" t="s">
        <v>352</v>
      </c>
      <c r="C95" t="s">
        <v>353</v>
      </c>
      <c r="D95" t="s">
        <v>22</v>
      </c>
      <c r="E95">
        <v>19</v>
      </c>
      <c r="F95" t="s">
        <v>210</v>
      </c>
    </row>
    <row r="96" spans="1:6" x14ac:dyDescent="0.25">
      <c r="A96" t="s">
        <v>351</v>
      </c>
      <c r="B96" t="s">
        <v>352</v>
      </c>
      <c r="C96" t="s">
        <v>353</v>
      </c>
      <c r="D96" t="s">
        <v>22</v>
      </c>
      <c r="E96">
        <v>20</v>
      </c>
      <c r="F96" t="s">
        <v>212</v>
      </c>
    </row>
    <row r="97" spans="1:6" x14ac:dyDescent="0.25">
      <c r="A97" t="s">
        <v>351</v>
      </c>
      <c r="B97" t="s">
        <v>352</v>
      </c>
      <c r="C97" t="s">
        <v>353</v>
      </c>
      <c r="D97" t="s">
        <v>22</v>
      </c>
      <c r="E97">
        <v>21</v>
      </c>
      <c r="F97" t="s">
        <v>214</v>
      </c>
    </row>
    <row r="98" spans="1:6" x14ac:dyDescent="0.25">
      <c r="A98" t="s">
        <v>351</v>
      </c>
      <c r="B98" t="s">
        <v>352</v>
      </c>
      <c r="C98" t="s">
        <v>353</v>
      </c>
      <c r="D98" t="s">
        <v>346</v>
      </c>
      <c r="E98">
        <v>1</v>
      </c>
      <c r="F98" t="s">
        <v>196</v>
      </c>
    </row>
    <row r="99" spans="1:6" x14ac:dyDescent="0.25">
      <c r="A99" t="s">
        <v>351</v>
      </c>
      <c r="B99" t="s">
        <v>352</v>
      </c>
      <c r="C99" t="s">
        <v>353</v>
      </c>
      <c r="D99" t="s">
        <v>346</v>
      </c>
      <c r="E99">
        <v>2</v>
      </c>
      <c r="F99" t="s">
        <v>216</v>
      </c>
    </row>
    <row r="100" spans="1:6" x14ac:dyDescent="0.25">
      <c r="A100" t="s">
        <v>351</v>
      </c>
      <c r="B100" t="s">
        <v>352</v>
      </c>
      <c r="C100" t="s">
        <v>353</v>
      </c>
      <c r="D100" t="s">
        <v>346</v>
      </c>
      <c r="E100">
        <v>3</v>
      </c>
      <c r="F100" t="s">
        <v>218</v>
      </c>
    </row>
    <row r="101" spans="1:6" x14ac:dyDescent="0.25">
      <c r="A101" t="s">
        <v>351</v>
      </c>
      <c r="B101" t="s">
        <v>352</v>
      </c>
      <c r="C101" t="s">
        <v>353</v>
      </c>
      <c r="D101" t="s">
        <v>346</v>
      </c>
      <c r="E101">
        <v>4</v>
      </c>
      <c r="F101" t="s">
        <v>220</v>
      </c>
    </row>
    <row r="102" spans="1:6" x14ac:dyDescent="0.25">
      <c r="A102" t="s">
        <v>351</v>
      </c>
      <c r="B102" t="s">
        <v>352</v>
      </c>
      <c r="C102" t="s">
        <v>353</v>
      </c>
      <c r="D102" t="s">
        <v>346</v>
      </c>
      <c r="E102">
        <v>5</v>
      </c>
      <c r="F102" t="s">
        <v>222</v>
      </c>
    </row>
    <row r="103" spans="1:6" x14ac:dyDescent="0.25">
      <c r="A103" t="s">
        <v>351</v>
      </c>
      <c r="B103" t="s">
        <v>352</v>
      </c>
      <c r="C103" t="s">
        <v>353</v>
      </c>
      <c r="D103" t="s">
        <v>346</v>
      </c>
      <c r="E103">
        <v>6</v>
      </c>
      <c r="F103" t="s">
        <v>224</v>
      </c>
    </row>
    <row r="104" spans="1:6" x14ac:dyDescent="0.25">
      <c r="A104" t="s">
        <v>354</v>
      </c>
      <c r="B104" t="s">
        <v>355</v>
      </c>
      <c r="C104" t="s">
        <v>356</v>
      </c>
      <c r="D104" t="s">
        <v>22</v>
      </c>
      <c r="E104">
        <v>1</v>
      </c>
      <c r="F104" t="s">
        <v>226</v>
      </c>
    </row>
    <row r="105" spans="1:6" x14ac:dyDescent="0.25">
      <c r="A105" t="s">
        <v>354</v>
      </c>
      <c r="B105" t="s">
        <v>355</v>
      </c>
      <c r="C105" t="s">
        <v>356</v>
      </c>
      <c r="D105" t="s">
        <v>22</v>
      </c>
      <c r="E105">
        <v>2</v>
      </c>
      <c r="F105" t="s">
        <v>228</v>
      </c>
    </row>
    <row r="106" spans="1:6" x14ac:dyDescent="0.25">
      <c r="A106" t="s">
        <v>354</v>
      </c>
      <c r="B106" t="s">
        <v>355</v>
      </c>
      <c r="C106" t="s">
        <v>356</v>
      </c>
      <c r="D106" t="s">
        <v>22</v>
      </c>
      <c r="E106">
        <v>3</v>
      </c>
      <c r="F106" t="s">
        <v>230</v>
      </c>
    </row>
    <row r="107" spans="1:6" x14ac:dyDescent="0.25">
      <c r="A107" t="s">
        <v>354</v>
      </c>
      <c r="B107" t="s">
        <v>355</v>
      </c>
      <c r="C107" t="s">
        <v>356</v>
      </c>
      <c r="D107" t="s">
        <v>22</v>
      </c>
      <c r="E107">
        <v>4</v>
      </c>
      <c r="F107" t="s">
        <v>232</v>
      </c>
    </row>
    <row r="108" spans="1:6" x14ac:dyDescent="0.25">
      <c r="A108" t="s">
        <v>354</v>
      </c>
      <c r="B108" t="s">
        <v>355</v>
      </c>
      <c r="C108" t="s">
        <v>356</v>
      </c>
      <c r="D108" t="s">
        <v>22</v>
      </c>
      <c r="E108">
        <v>5</v>
      </c>
      <c r="F108" t="s">
        <v>234</v>
      </c>
    </row>
    <row r="109" spans="1:6" x14ac:dyDescent="0.25">
      <c r="A109" t="s">
        <v>354</v>
      </c>
      <c r="B109" t="s">
        <v>355</v>
      </c>
      <c r="C109" t="s">
        <v>356</v>
      </c>
      <c r="D109" t="s">
        <v>22</v>
      </c>
      <c r="E109">
        <v>6</v>
      </c>
      <c r="F109" t="s">
        <v>236</v>
      </c>
    </row>
    <row r="110" spans="1:6" x14ac:dyDescent="0.25">
      <c r="A110" t="s">
        <v>354</v>
      </c>
      <c r="B110" t="s">
        <v>355</v>
      </c>
      <c r="C110" t="s">
        <v>356</v>
      </c>
      <c r="D110" t="s">
        <v>22</v>
      </c>
      <c r="E110">
        <v>7</v>
      </c>
      <c r="F110" t="s">
        <v>238</v>
      </c>
    </row>
    <row r="111" spans="1:6" x14ac:dyDescent="0.25">
      <c r="A111" t="s">
        <v>354</v>
      </c>
      <c r="B111" t="s">
        <v>355</v>
      </c>
      <c r="C111" t="s">
        <v>356</v>
      </c>
      <c r="D111" t="s">
        <v>22</v>
      </c>
      <c r="E111">
        <v>8</v>
      </c>
      <c r="F111" t="s">
        <v>240</v>
      </c>
    </row>
    <row r="112" spans="1:6" x14ac:dyDescent="0.25">
      <c r="A112" t="s">
        <v>354</v>
      </c>
      <c r="B112" t="s">
        <v>355</v>
      </c>
      <c r="C112" t="s">
        <v>356</v>
      </c>
      <c r="D112" t="s">
        <v>22</v>
      </c>
      <c r="E112">
        <v>9</v>
      </c>
      <c r="F112" t="s">
        <v>242</v>
      </c>
    </row>
    <row r="113" spans="1:6" x14ac:dyDescent="0.25">
      <c r="A113" t="s">
        <v>354</v>
      </c>
      <c r="B113" t="s">
        <v>355</v>
      </c>
      <c r="C113" t="s">
        <v>356</v>
      </c>
      <c r="D113" t="s">
        <v>22</v>
      </c>
      <c r="E113">
        <v>10</v>
      </c>
      <c r="F113" t="s">
        <v>244</v>
      </c>
    </row>
    <row r="114" spans="1:6" x14ac:dyDescent="0.25">
      <c r="A114" t="s">
        <v>354</v>
      </c>
      <c r="B114" t="s">
        <v>355</v>
      </c>
      <c r="C114" t="s">
        <v>356</v>
      </c>
      <c r="D114" t="s">
        <v>22</v>
      </c>
      <c r="E114">
        <v>11</v>
      </c>
      <c r="F114" t="s">
        <v>246</v>
      </c>
    </row>
    <row r="115" spans="1:6" x14ac:dyDescent="0.25">
      <c r="A115" t="s">
        <v>354</v>
      </c>
      <c r="B115" t="s">
        <v>355</v>
      </c>
      <c r="C115" t="s">
        <v>356</v>
      </c>
      <c r="D115" t="s">
        <v>22</v>
      </c>
      <c r="E115">
        <v>12</v>
      </c>
      <c r="F115" t="s">
        <v>247</v>
      </c>
    </row>
    <row r="116" spans="1:6" x14ac:dyDescent="0.25">
      <c r="A116" t="s">
        <v>354</v>
      </c>
      <c r="B116" t="s">
        <v>355</v>
      </c>
      <c r="C116" t="s">
        <v>356</v>
      </c>
      <c r="D116" t="s">
        <v>22</v>
      </c>
      <c r="E116">
        <v>13</v>
      </c>
      <c r="F116" t="s">
        <v>248</v>
      </c>
    </row>
    <row r="117" spans="1:6" x14ac:dyDescent="0.25">
      <c r="A117" t="s">
        <v>354</v>
      </c>
      <c r="B117" t="s">
        <v>355</v>
      </c>
      <c r="C117" t="s">
        <v>356</v>
      </c>
      <c r="D117" t="s">
        <v>22</v>
      </c>
      <c r="E117">
        <v>14</v>
      </c>
      <c r="F117" t="s">
        <v>250</v>
      </c>
    </row>
    <row r="118" spans="1:6" x14ac:dyDescent="0.25">
      <c r="A118" t="s">
        <v>354</v>
      </c>
      <c r="B118" t="s">
        <v>355</v>
      </c>
      <c r="C118" t="s">
        <v>356</v>
      </c>
      <c r="D118" t="s">
        <v>22</v>
      </c>
      <c r="E118">
        <v>15</v>
      </c>
      <c r="F118" t="s">
        <v>251</v>
      </c>
    </row>
    <row r="119" spans="1:6" x14ac:dyDescent="0.25">
      <c r="A119" t="s">
        <v>354</v>
      </c>
      <c r="B119" t="s">
        <v>355</v>
      </c>
      <c r="C119" t="s">
        <v>356</v>
      </c>
      <c r="D119" t="s">
        <v>22</v>
      </c>
      <c r="E119">
        <v>16</v>
      </c>
      <c r="F119" t="s">
        <v>252</v>
      </c>
    </row>
    <row r="120" spans="1:6" x14ac:dyDescent="0.25">
      <c r="A120" t="s">
        <v>354</v>
      </c>
      <c r="B120" t="s">
        <v>355</v>
      </c>
      <c r="C120" t="s">
        <v>356</v>
      </c>
      <c r="D120" t="s">
        <v>22</v>
      </c>
      <c r="E120">
        <v>17</v>
      </c>
      <c r="F120" t="s">
        <v>254</v>
      </c>
    </row>
    <row r="121" spans="1:6" x14ac:dyDescent="0.25">
      <c r="A121" t="s">
        <v>354</v>
      </c>
      <c r="B121" t="s">
        <v>355</v>
      </c>
      <c r="C121" t="s">
        <v>356</v>
      </c>
      <c r="D121" t="s">
        <v>22</v>
      </c>
      <c r="E121">
        <v>18</v>
      </c>
      <c r="F121" t="s">
        <v>256</v>
      </c>
    </row>
    <row r="122" spans="1:6" x14ac:dyDescent="0.25">
      <c r="A122" t="s">
        <v>354</v>
      </c>
      <c r="B122" t="s">
        <v>355</v>
      </c>
      <c r="C122" t="s">
        <v>356</v>
      </c>
      <c r="D122" t="s">
        <v>22</v>
      </c>
      <c r="E122">
        <v>19</v>
      </c>
      <c r="F122" t="s">
        <v>257</v>
      </c>
    </row>
    <row r="123" spans="1:6" x14ac:dyDescent="0.25">
      <c r="A123" t="s">
        <v>354</v>
      </c>
      <c r="B123" t="s">
        <v>355</v>
      </c>
      <c r="C123" t="s">
        <v>356</v>
      </c>
      <c r="D123" t="s">
        <v>22</v>
      </c>
      <c r="E123">
        <v>20</v>
      </c>
      <c r="F123" t="s">
        <v>259</v>
      </c>
    </row>
    <row r="124" spans="1:6" x14ac:dyDescent="0.25">
      <c r="A124" t="s">
        <v>354</v>
      </c>
      <c r="B124" t="s">
        <v>355</v>
      </c>
      <c r="C124" t="s">
        <v>356</v>
      </c>
      <c r="D124" t="s">
        <v>22</v>
      </c>
      <c r="E124">
        <v>21</v>
      </c>
      <c r="F124" t="s">
        <v>261</v>
      </c>
    </row>
    <row r="125" spans="1:6" x14ac:dyDescent="0.25">
      <c r="A125" t="s">
        <v>354</v>
      </c>
      <c r="B125" t="s">
        <v>355</v>
      </c>
      <c r="C125" t="s">
        <v>356</v>
      </c>
      <c r="D125" t="s">
        <v>22</v>
      </c>
      <c r="E125">
        <v>22</v>
      </c>
      <c r="F125" t="s">
        <v>263</v>
      </c>
    </row>
    <row r="126" spans="1:6" x14ac:dyDescent="0.25">
      <c r="A126" t="s">
        <v>354</v>
      </c>
      <c r="B126" t="s">
        <v>355</v>
      </c>
      <c r="C126" t="s">
        <v>356</v>
      </c>
      <c r="D126" t="s">
        <v>22</v>
      </c>
      <c r="E126">
        <v>23</v>
      </c>
      <c r="F126" t="s">
        <v>265</v>
      </c>
    </row>
    <row r="127" spans="1:6" x14ac:dyDescent="0.25">
      <c r="A127" t="s">
        <v>357</v>
      </c>
      <c r="B127" t="s">
        <v>358</v>
      </c>
      <c r="C127" t="s">
        <v>359</v>
      </c>
      <c r="D127" t="s">
        <v>22</v>
      </c>
      <c r="E127">
        <v>1</v>
      </c>
      <c r="F127" t="s">
        <v>266</v>
      </c>
    </row>
    <row r="128" spans="1:6" x14ac:dyDescent="0.25">
      <c r="A128" t="s">
        <v>357</v>
      </c>
      <c r="B128" t="s">
        <v>358</v>
      </c>
      <c r="C128" t="s">
        <v>359</v>
      </c>
      <c r="D128" t="s">
        <v>22</v>
      </c>
      <c r="E128">
        <v>2</v>
      </c>
      <c r="F128" t="s">
        <v>267</v>
      </c>
    </row>
    <row r="129" spans="1:6" x14ac:dyDescent="0.25">
      <c r="A129" t="s">
        <v>357</v>
      </c>
      <c r="B129" t="s">
        <v>358</v>
      </c>
      <c r="C129" t="s">
        <v>359</v>
      </c>
      <c r="D129" t="s">
        <v>22</v>
      </c>
      <c r="E129">
        <v>3</v>
      </c>
      <c r="F129" t="s">
        <v>269</v>
      </c>
    </row>
    <row r="130" spans="1:6" x14ac:dyDescent="0.25">
      <c r="A130" t="s">
        <v>357</v>
      </c>
      <c r="B130" t="s">
        <v>358</v>
      </c>
      <c r="C130" t="s">
        <v>359</v>
      </c>
      <c r="D130" t="s">
        <v>22</v>
      </c>
      <c r="E130">
        <v>4</v>
      </c>
      <c r="F130" t="s">
        <v>271</v>
      </c>
    </row>
    <row r="131" spans="1:6" x14ac:dyDescent="0.25">
      <c r="A131" t="s">
        <v>357</v>
      </c>
      <c r="B131" t="s">
        <v>358</v>
      </c>
      <c r="C131" t="s">
        <v>359</v>
      </c>
      <c r="D131" t="s">
        <v>22</v>
      </c>
      <c r="E131">
        <v>5</v>
      </c>
      <c r="F131" t="s">
        <v>273</v>
      </c>
    </row>
    <row r="132" spans="1:6" x14ac:dyDescent="0.25">
      <c r="A132" t="s">
        <v>357</v>
      </c>
      <c r="B132" t="s">
        <v>358</v>
      </c>
      <c r="C132" t="s">
        <v>359</v>
      </c>
      <c r="D132" t="s">
        <v>22</v>
      </c>
      <c r="E132">
        <v>6</v>
      </c>
      <c r="F132" t="s">
        <v>275</v>
      </c>
    </row>
    <row r="133" spans="1:6" x14ac:dyDescent="0.25">
      <c r="A133" t="s">
        <v>357</v>
      </c>
      <c r="B133" t="s">
        <v>358</v>
      </c>
      <c r="C133" t="s">
        <v>359</v>
      </c>
      <c r="D133" t="s">
        <v>22</v>
      </c>
      <c r="E133">
        <v>7</v>
      </c>
      <c r="F133" t="s">
        <v>277</v>
      </c>
    </row>
    <row r="134" spans="1:6" x14ac:dyDescent="0.25">
      <c r="A134" t="s">
        <v>357</v>
      </c>
      <c r="B134" t="s">
        <v>358</v>
      </c>
      <c r="C134" t="s">
        <v>359</v>
      </c>
      <c r="D134" t="s">
        <v>22</v>
      </c>
      <c r="E134">
        <v>8</v>
      </c>
      <c r="F134" t="s">
        <v>278</v>
      </c>
    </row>
    <row r="135" spans="1:6" x14ac:dyDescent="0.25">
      <c r="A135" t="s">
        <v>357</v>
      </c>
      <c r="B135" t="s">
        <v>358</v>
      </c>
      <c r="C135" t="s">
        <v>359</v>
      </c>
      <c r="D135" t="s">
        <v>22</v>
      </c>
      <c r="E135">
        <v>9</v>
      </c>
      <c r="F135" t="s">
        <v>280</v>
      </c>
    </row>
    <row r="136" spans="1:6" x14ac:dyDescent="0.25">
      <c r="A136" t="s">
        <v>357</v>
      </c>
      <c r="B136" t="s">
        <v>358</v>
      </c>
      <c r="C136" t="s">
        <v>359</v>
      </c>
      <c r="D136" t="s">
        <v>22</v>
      </c>
      <c r="E136">
        <v>10</v>
      </c>
      <c r="F136" t="s">
        <v>282</v>
      </c>
    </row>
    <row r="137" spans="1:6" x14ac:dyDescent="0.25">
      <c r="A137" t="s">
        <v>357</v>
      </c>
      <c r="B137" t="s">
        <v>358</v>
      </c>
      <c r="C137" t="s">
        <v>359</v>
      </c>
      <c r="D137" t="s">
        <v>22</v>
      </c>
      <c r="E137">
        <v>11</v>
      </c>
      <c r="F137" t="s">
        <v>284</v>
      </c>
    </row>
    <row r="138" spans="1:6" x14ac:dyDescent="0.25">
      <c r="A138" t="s">
        <v>357</v>
      </c>
      <c r="B138" t="s">
        <v>358</v>
      </c>
      <c r="C138" t="s">
        <v>359</v>
      </c>
      <c r="D138" t="s">
        <v>22</v>
      </c>
      <c r="E138">
        <v>12</v>
      </c>
      <c r="F138" t="s">
        <v>285</v>
      </c>
    </row>
    <row r="139" spans="1:6" x14ac:dyDescent="0.25">
      <c r="A139" t="s">
        <v>357</v>
      </c>
      <c r="B139" t="s">
        <v>358</v>
      </c>
      <c r="C139" t="s">
        <v>359</v>
      </c>
      <c r="D139" t="s">
        <v>22</v>
      </c>
      <c r="E139">
        <v>13</v>
      </c>
      <c r="F139" t="s">
        <v>287</v>
      </c>
    </row>
    <row r="140" spans="1:6" x14ac:dyDescent="0.25">
      <c r="A140" t="s">
        <v>357</v>
      </c>
      <c r="B140" t="s">
        <v>358</v>
      </c>
      <c r="C140" t="s">
        <v>359</v>
      </c>
      <c r="D140" t="s">
        <v>22</v>
      </c>
      <c r="E140">
        <v>14</v>
      </c>
      <c r="F140" t="s">
        <v>289</v>
      </c>
    </row>
    <row r="141" spans="1:6" x14ac:dyDescent="0.25">
      <c r="A141" t="s">
        <v>357</v>
      </c>
      <c r="B141" t="s">
        <v>358</v>
      </c>
      <c r="C141" t="s">
        <v>359</v>
      </c>
      <c r="D141" t="s">
        <v>22</v>
      </c>
      <c r="E141">
        <v>15</v>
      </c>
      <c r="F141" t="s">
        <v>291</v>
      </c>
    </row>
    <row r="142" spans="1:6" x14ac:dyDescent="0.25">
      <c r="A142" t="s">
        <v>357</v>
      </c>
      <c r="B142" t="s">
        <v>358</v>
      </c>
      <c r="C142" t="s">
        <v>359</v>
      </c>
      <c r="D142" t="s">
        <v>22</v>
      </c>
      <c r="E142">
        <v>16</v>
      </c>
      <c r="F142" t="s">
        <v>293</v>
      </c>
    </row>
    <row r="143" spans="1:6" x14ac:dyDescent="0.25">
      <c r="A143" t="s">
        <v>357</v>
      </c>
      <c r="B143" t="s">
        <v>358</v>
      </c>
      <c r="C143" t="s">
        <v>359</v>
      </c>
      <c r="D143" t="s">
        <v>22</v>
      </c>
      <c r="E143">
        <v>17</v>
      </c>
      <c r="F143" t="s">
        <v>294</v>
      </c>
    </row>
    <row r="144" spans="1:6" x14ac:dyDescent="0.25">
      <c r="A144" t="s">
        <v>357</v>
      </c>
      <c r="B144" t="s">
        <v>358</v>
      </c>
      <c r="C144" t="s">
        <v>359</v>
      </c>
      <c r="D144" t="s">
        <v>22</v>
      </c>
      <c r="E144">
        <v>18</v>
      </c>
      <c r="F144" t="s">
        <v>296</v>
      </c>
    </row>
    <row r="145" spans="1:6" x14ac:dyDescent="0.25">
      <c r="A145" t="s">
        <v>357</v>
      </c>
      <c r="B145" t="s">
        <v>358</v>
      </c>
      <c r="C145" t="s">
        <v>359</v>
      </c>
      <c r="D145" t="s">
        <v>22</v>
      </c>
      <c r="E145">
        <v>19</v>
      </c>
      <c r="F145" t="s">
        <v>297</v>
      </c>
    </row>
    <row r="146" spans="1:6" x14ac:dyDescent="0.25">
      <c r="A146" t="s">
        <v>357</v>
      </c>
      <c r="B146" t="s">
        <v>358</v>
      </c>
      <c r="C146" t="s">
        <v>359</v>
      </c>
      <c r="D146" t="s">
        <v>22</v>
      </c>
      <c r="E146">
        <v>20</v>
      </c>
      <c r="F146" t="s">
        <v>299</v>
      </c>
    </row>
    <row r="147" spans="1:6" x14ac:dyDescent="0.25">
      <c r="A147" t="s">
        <v>357</v>
      </c>
      <c r="B147" t="s">
        <v>358</v>
      </c>
      <c r="C147" t="s">
        <v>359</v>
      </c>
      <c r="D147" t="s">
        <v>22</v>
      </c>
      <c r="E147">
        <v>21</v>
      </c>
      <c r="F147" t="s">
        <v>301</v>
      </c>
    </row>
    <row r="148" spans="1:6" x14ac:dyDescent="0.25">
      <c r="A148" t="s">
        <v>357</v>
      </c>
      <c r="B148" t="s">
        <v>358</v>
      </c>
      <c r="C148" t="s">
        <v>359</v>
      </c>
      <c r="D148" t="s">
        <v>22</v>
      </c>
      <c r="E148">
        <v>22</v>
      </c>
      <c r="F148" t="s">
        <v>303</v>
      </c>
    </row>
    <row r="149" spans="1:6" x14ac:dyDescent="0.25">
      <c r="A149" t="s">
        <v>357</v>
      </c>
      <c r="B149" t="s">
        <v>358</v>
      </c>
      <c r="C149" t="s">
        <v>359</v>
      </c>
      <c r="D149" t="s">
        <v>22</v>
      </c>
      <c r="E149">
        <v>23</v>
      </c>
      <c r="F149" t="s">
        <v>305</v>
      </c>
    </row>
    <row r="150" spans="1:6" x14ac:dyDescent="0.25">
      <c r="A150" t="s">
        <v>357</v>
      </c>
      <c r="B150" t="s">
        <v>358</v>
      </c>
      <c r="C150" t="s">
        <v>359</v>
      </c>
      <c r="D150" t="s">
        <v>22</v>
      </c>
      <c r="E150">
        <v>24</v>
      </c>
      <c r="F150" t="s">
        <v>307</v>
      </c>
    </row>
    <row r="151" spans="1:6" x14ac:dyDescent="0.25">
      <c r="A151" t="s">
        <v>357</v>
      </c>
      <c r="B151" t="s">
        <v>358</v>
      </c>
      <c r="C151" t="s">
        <v>359</v>
      </c>
      <c r="D151" t="s">
        <v>22</v>
      </c>
      <c r="E151">
        <v>25</v>
      </c>
      <c r="F151" t="s">
        <v>308</v>
      </c>
    </row>
    <row r="152" spans="1:6" x14ac:dyDescent="0.25">
      <c r="A152" t="s">
        <v>357</v>
      </c>
      <c r="B152" t="s">
        <v>358</v>
      </c>
      <c r="C152" t="s">
        <v>359</v>
      </c>
      <c r="D152" t="s">
        <v>22</v>
      </c>
      <c r="E152">
        <v>26</v>
      </c>
      <c r="F152" t="s">
        <v>310</v>
      </c>
    </row>
    <row r="153" spans="1:6" x14ac:dyDescent="0.25">
      <c r="A153" t="s">
        <v>357</v>
      </c>
      <c r="B153" t="s">
        <v>358</v>
      </c>
      <c r="C153" t="s">
        <v>359</v>
      </c>
      <c r="D153" t="s">
        <v>22</v>
      </c>
      <c r="E153">
        <v>27</v>
      </c>
      <c r="F153" t="s">
        <v>312</v>
      </c>
    </row>
    <row r="154" spans="1:6" x14ac:dyDescent="0.25">
      <c r="A154" t="s">
        <v>357</v>
      </c>
      <c r="B154" t="s">
        <v>358</v>
      </c>
      <c r="C154" t="s">
        <v>359</v>
      </c>
      <c r="D154" t="s">
        <v>22</v>
      </c>
      <c r="E154">
        <v>28</v>
      </c>
      <c r="F154" t="s">
        <v>314</v>
      </c>
    </row>
    <row r="155" spans="1:6" x14ac:dyDescent="0.25">
      <c r="A155" t="s">
        <v>357</v>
      </c>
      <c r="B155" t="s">
        <v>358</v>
      </c>
      <c r="C155" t="s">
        <v>359</v>
      </c>
      <c r="D155" t="s">
        <v>22</v>
      </c>
      <c r="E155">
        <v>29</v>
      </c>
      <c r="F155" t="s">
        <v>316</v>
      </c>
    </row>
    <row r="156" spans="1:6" x14ac:dyDescent="0.25">
      <c r="A156" t="s">
        <v>357</v>
      </c>
      <c r="B156" t="s">
        <v>358</v>
      </c>
      <c r="C156" t="s">
        <v>359</v>
      </c>
      <c r="D156" t="s">
        <v>22</v>
      </c>
      <c r="E156">
        <v>30</v>
      </c>
      <c r="F156" t="s">
        <v>317</v>
      </c>
    </row>
    <row r="157" spans="1:6" x14ac:dyDescent="0.25">
      <c r="A157" t="s">
        <v>357</v>
      </c>
      <c r="B157" t="s">
        <v>358</v>
      </c>
      <c r="C157" t="s">
        <v>359</v>
      </c>
      <c r="D157" t="s">
        <v>22</v>
      </c>
      <c r="E157">
        <v>31</v>
      </c>
      <c r="F157" t="s">
        <v>319</v>
      </c>
    </row>
    <row r="158" spans="1:6" x14ac:dyDescent="0.25">
      <c r="A158" t="s">
        <v>357</v>
      </c>
      <c r="B158" t="s">
        <v>358</v>
      </c>
      <c r="C158" t="s">
        <v>359</v>
      </c>
      <c r="D158" t="s">
        <v>22</v>
      </c>
      <c r="E158">
        <v>32</v>
      </c>
      <c r="F158" t="s">
        <v>321</v>
      </c>
    </row>
    <row r="159" spans="1:6" x14ac:dyDescent="0.25">
      <c r="A159" t="s">
        <v>357</v>
      </c>
      <c r="B159" t="s">
        <v>358</v>
      </c>
      <c r="C159" t="s">
        <v>359</v>
      </c>
      <c r="D159" t="s">
        <v>22</v>
      </c>
      <c r="E159">
        <v>33</v>
      </c>
      <c r="F159" t="s">
        <v>322</v>
      </c>
    </row>
    <row r="160" spans="1:6" x14ac:dyDescent="0.25">
      <c r="A160" t="s">
        <v>357</v>
      </c>
      <c r="B160" t="s">
        <v>358</v>
      </c>
      <c r="C160" t="s">
        <v>359</v>
      </c>
      <c r="D160" t="s">
        <v>22</v>
      </c>
      <c r="E160">
        <v>34</v>
      </c>
      <c r="F160" t="s">
        <v>324</v>
      </c>
    </row>
    <row r="161" spans="1:6" x14ac:dyDescent="0.25">
      <c r="A161" t="s">
        <v>357</v>
      </c>
      <c r="B161" t="s">
        <v>358</v>
      </c>
      <c r="C161" t="s">
        <v>359</v>
      </c>
      <c r="D161" t="s">
        <v>22</v>
      </c>
      <c r="E161">
        <v>35</v>
      </c>
      <c r="F161" t="s">
        <v>326</v>
      </c>
    </row>
    <row r="162" spans="1:6" x14ac:dyDescent="0.25">
      <c r="A162" t="s">
        <v>357</v>
      </c>
      <c r="B162" t="s">
        <v>358</v>
      </c>
      <c r="C162" t="s">
        <v>359</v>
      </c>
      <c r="D162" t="s">
        <v>22</v>
      </c>
      <c r="E162">
        <v>36</v>
      </c>
      <c r="F162" t="s">
        <v>328</v>
      </c>
    </row>
    <row r="163" spans="1:6" x14ac:dyDescent="0.25">
      <c r="A163" t="s">
        <v>357</v>
      </c>
      <c r="B163" t="s">
        <v>358</v>
      </c>
      <c r="C163" t="s">
        <v>359</v>
      </c>
      <c r="D163" t="s">
        <v>22</v>
      </c>
      <c r="E163">
        <v>37</v>
      </c>
      <c r="F163" t="s">
        <v>330</v>
      </c>
    </row>
    <row r="164" spans="1:6" x14ac:dyDescent="0.25">
      <c r="A164" t="s">
        <v>357</v>
      </c>
      <c r="B164" t="s">
        <v>358</v>
      </c>
      <c r="C164" t="s">
        <v>359</v>
      </c>
      <c r="D164" t="s">
        <v>22</v>
      </c>
      <c r="E164">
        <v>38</v>
      </c>
      <c r="F164" t="s">
        <v>332</v>
      </c>
    </row>
    <row r="165" spans="1:6" x14ac:dyDescent="0.25">
      <c r="A165" t="s">
        <v>357</v>
      </c>
      <c r="B165" t="s">
        <v>358</v>
      </c>
      <c r="C165" t="s">
        <v>359</v>
      </c>
      <c r="D165" t="s">
        <v>22</v>
      </c>
      <c r="E165">
        <v>39</v>
      </c>
      <c r="F165" t="s">
        <v>334</v>
      </c>
    </row>
    <row r="166" spans="1:6" x14ac:dyDescent="0.25">
      <c r="A166" t="s">
        <v>357</v>
      </c>
      <c r="B166" t="s">
        <v>358</v>
      </c>
      <c r="C166" t="s">
        <v>359</v>
      </c>
      <c r="D166" t="s">
        <v>22</v>
      </c>
      <c r="E166">
        <v>40</v>
      </c>
      <c r="F166" t="s">
        <v>335</v>
      </c>
    </row>
    <row r="167" spans="1:6" x14ac:dyDescent="0.25">
      <c r="A167" t="s">
        <v>357</v>
      </c>
      <c r="B167" t="s">
        <v>358</v>
      </c>
      <c r="C167" t="s">
        <v>359</v>
      </c>
      <c r="D167" t="s">
        <v>22</v>
      </c>
      <c r="E167">
        <v>41</v>
      </c>
      <c r="F167" t="s">
        <v>336</v>
      </c>
    </row>
    <row r="168" spans="1:6" x14ac:dyDescent="0.25">
      <c r="A168" t="s">
        <v>357</v>
      </c>
      <c r="B168" t="s">
        <v>358</v>
      </c>
      <c r="C168" t="s">
        <v>359</v>
      </c>
      <c r="D168" t="s">
        <v>22</v>
      </c>
      <c r="E168">
        <v>42</v>
      </c>
      <c r="F168" t="s">
        <v>337</v>
      </c>
    </row>
    <row r="169" spans="1:6" x14ac:dyDescent="0.25">
      <c r="A169" t="s">
        <v>357</v>
      </c>
      <c r="B169" t="s">
        <v>358</v>
      </c>
      <c r="C169" t="s">
        <v>359</v>
      </c>
      <c r="D169" t="s">
        <v>22</v>
      </c>
      <c r="E169">
        <v>43</v>
      </c>
      <c r="F169" t="s">
        <v>266</v>
      </c>
    </row>
  </sheetData>
  <pageMargins left="0.7" right="0.7" top="0.75" bottom="0.75" header="0.3" footer="0.3"/>
  <pageSetup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43"/>
  <sheetViews>
    <sheetView workbookViewId="0">
      <pane ySplit="1" topLeftCell="A32" activePane="bottomLeft" state="frozen"/>
      <selection pane="bottomLeft" activeCell="D35" sqref="D35"/>
    </sheetView>
  </sheetViews>
  <sheetFormatPr defaultRowHeight="15" x14ac:dyDescent="0.25"/>
  <cols>
    <col min="1" max="1" width="14" customWidth="1"/>
    <col min="2" max="2" width="10" customWidth="1"/>
    <col min="3" max="3" width="14" customWidth="1"/>
    <col min="4" max="4" width="32" customWidth="1"/>
  </cols>
  <sheetData>
    <row r="1" spans="1:4" s="5" customFormat="1" x14ac:dyDescent="0.25">
      <c r="A1" s="5" t="s">
        <v>23</v>
      </c>
      <c r="B1" s="5" t="s">
        <v>21</v>
      </c>
      <c r="C1" s="5" t="s">
        <v>0</v>
      </c>
      <c r="D1" s="5" t="s">
        <v>24</v>
      </c>
    </row>
    <row r="2" spans="1:4" x14ac:dyDescent="0.25">
      <c r="A2" s="7" t="s">
        <v>25</v>
      </c>
      <c r="B2" s="7">
        <v>1</v>
      </c>
      <c r="C2" s="7" t="s">
        <v>266</v>
      </c>
      <c r="D2" s="7" t="s">
        <v>402</v>
      </c>
    </row>
    <row r="3" spans="1:4" x14ac:dyDescent="0.25">
      <c r="A3" s="7" t="s">
        <v>25</v>
      </c>
      <c r="B3" s="7">
        <v>2</v>
      </c>
      <c r="C3" s="7" t="s">
        <v>267</v>
      </c>
      <c r="D3" s="7" t="s">
        <v>402</v>
      </c>
    </row>
    <row r="4" spans="1:4" x14ac:dyDescent="0.25">
      <c r="A4" s="7" t="s">
        <v>25</v>
      </c>
      <c r="B4" s="7">
        <v>3</v>
      </c>
      <c r="C4" s="7" t="s">
        <v>269</v>
      </c>
      <c r="D4" s="7" t="s">
        <v>402</v>
      </c>
    </row>
    <row r="5" spans="1:4" x14ac:dyDescent="0.25">
      <c r="A5" s="7" t="s">
        <v>25</v>
      </c>
      <c r="B5" s="7">
        <v>4</v>
      </c>
      <c r="C5" s="7" t="s">
        <v>271</v>
      </c>
      <c r="D5" s="7" t="s">
        <v>402</v>
      </c>
    </row>
    <row r="6" spans="1:4" x14ac:dyDescent="0.25">
      <c r="A6" s="7" t="s">
        <v>25</v>
      </c>
      <c r="B6" s="7">
        <v>5</v>
      </c>
      <c r="C6" s="7" t="s">
        <v>273</v>
      </c>
      <c r="D6" s="7" t="s">
        <v>402</v>
      </c>
    </row>
    <row r="7" spans="1:4" x14ac:dyDescent="0.25">
      <c r="A7" s="7" t="s">
        <v>25</v>
      </c>
      <c r="B7" s="7">
        <v>6</v>
      </c>
      <c r="C7" s="7" t="s">
        <v>275</v>
      </c>
      <c r="D7" s="7" t="s">
        <v>402</v>
      </c>
    </row>
    <row r="8" spans="1:4" x14ac:dyDescent="0.25">
      <c r="A8" s="7" t="s">
        <v>25</v>
      </c>
      <c r="B8" s="7">
        <v>7</v>
      </c>
      <c r="C8" s="7" t="s">
        <v>277</v>
      </c>
      <c r="D8" s="7" t="s">
        <v>402</v>
      </c>
    </row>
    <row r="9" spans="1:4" x14ac:dyDescent="0.25">
      <c r="A9" s="7" t="s">
        <v>25</v>
      </c>
      <c r="B9" s="7">
        <v>8</v>
      </c>
      <c r="C9" s="7" t="s">
        <v>278</v>
      </c>
      <c r="D9" s="7" t="s">
        <v>402</v>
      </c>
    </row>
    <row r="10" spans="1:4" x14ac:dyDescent="0.25">
      <c r="A10" s="7" t="s">
        <v>25</v>
      </c>
      <c r="B10" s="7">
        <v>9</v>
      </c>
      <c r="C10" s="7" t="s">
        <v>280</v>
      </c>
      <c r="D10" s="7" t="s">
        <v>402</v>
      </c>
    </row>
    <row r="11" spans="1:4" x14ac:dyDescent="0.25">
      <c r="A11" s="7" t="s">
        <v>25</v>
      </c>
      <c r="B11" s="7">
        <v>10</v>
      </c>
      <c r="C11" s="7" t="s">
        <v>282</v>
      </c>
      <c r="D11" s="7" t="s">
        <v>402</v>
      </c>
    </row>
    <row r="12" spans="1:4" x14ac:dyDescent="0.25">
      <c r="A12" s="7" t="s">
        <v>25</v>
      </c>
      <c r="B12" s="7">
        <v>11</v>
      </c>
      <c r="C12" s="7" t="s">
        <v>284</v>
      </c>
      <c r="D12" s="7" t="s">
        <v>402</v>
      </c>
    </row>
    <row r="13" spans="1:4" x14ac:dyDescent="0.25">
      <c r="A13" s="7" t="s">
        <v>25</v>
      </c>
      <c r="B13" s="7">
        <v>12</v>
      </c>
      <c r="C13" s="7" t="s">
        <v>285</v>
      </c>
      <c r="D13" s="7" t="s">
        <v>402</v>
      </c>
    </row>
    <row r="14" spans="1:4" x14ac:dyDescent="0.25">
      <c r="A14" s="7" t="s">
        <v>25</v>
      </c>
      <c r="B14" s="7">
        <v>13</v>
      </c>
      <c r="C14" s="7" t="s">
        <v>287</v>
      </c>
      <c r="D14" s="7" t="s">
        <v>402</v>
      </c>
    </row>
    <row r="15" spans="1:4" x14ac:dyDescent="0.25">
      <c r="A15" s="7" t="s">
        <v>25</v>
      </c>
      <c r="B15" s="7">
        <v>14</v>
      </c>
      <c r="C15" s="7" t="s">
        <v>289</v>
      </c>
      <c r="D15" s="7" t="s">
        <v>402</v>
      </c>
    </row>
    <row r="16" spans="1:4" x14ac:dyDescent="0.25">
      <c r="A16" s="7" t="s">
        <v>25</v>
      </c>
      <c r="B16" s="7">
        <v>15</v>
      </c>
      <c r="C16" s="7" t="s">
        <v>291</v>
      </c>
      <c r="D16" s="7" t="s">
        <v>402</v>
      </c>
    </row>
    <row r="17" spans="1:4" x14ac:dyDescent="0.25">
      <c r="A17" s="7" t="s">
        <v>25</v>
      </c>
      <c r="B17" s="7">
        <v>16</v>
      </c>
      <c r="C17" s="7" t="s">
        <v>293</v>
      </c>
      <c r="D17" s="7" t="s">
        <v>402</v>
      </c>
    </row>
    <row r="18" spans="1:4" x14ac:dyDescent="0.25">
      <c r="A18" s="7" t="s">
        <v>25</v>
      </c>
      <c r="B18" s="7">
        <v>17</v>
      </c>
      <c r="C18" s="7" t="s">
        <v>294</v>
      </c>
      <c r="D18" s="7" t="s">
        <v>402</v>
      </c>
    </row>
    <row r="19" spans="1:4" x14ac:dyDescent="0.25">
      <c r="A19" s="7" t="s">
        <v>25</v>
      </c>
      <c r="B19" s="7">
        <v>18</v>
      </c>
      <c r="C19" s="7" t="s">
        <v>296</v>
      </c>
      <c r="D19" s="7" t="s">
        <v>402</v>
      </c>
    </row>
    <row r="20" spans="1:4" x14ac:dyDescent="0.25">
      <c r="A20" s="7" t="s">
        <v>25</v>
      </c>
      <c r="B20" s="7">
        <v>19</v>
      </c>
      <c r="C20" s="7" t="s">
        <v>297</v>
      </c>
      <c r="D20" s="7" t="s">
        <v>402</v>
      </c>
    </row>
    <row r="21" spans="1:4" x14ac:dyDescent="0.25">
      <c r="A21" s="7" t="s">
        <v>25</v>
      </c>
      <c r="B21" s="7">
        <v>20</v>
      </c>
      <c r="C21" s="7" t="s">
        <v>299</v>
      </c>
      <c r="D21" s="7" t="s">
        <v>402</v>
      </c>
    </row>
    <row r="22" spans="1:4" x14ac:dyDescent="0.25">
      <c r="A22" s="7" t="s">
        <v>25</v>
      </c>
      <c r="B22" s="7">
        <v>21</v>
      </c>
      <c r="C22" s="7" t="s">
        <v>301</v>
      </c>
      <c r="D22" s="7" t="s">
        <v>402</v>
      </c>
    </row>
    <row r="23" spans="1:4" x14ac:dyDescent="0.25">
      <c r="A23" s="7" t="s">
        <v>25</v>
      </c>
      <c r="B23" s="7">
        <v>22</v>
      </c>
      <c r="C23" s="7" t="s">
        <v>303</v>
      </c>
      <c r="D23" s="7" t="s">
        <v>402</v>
      </c>
    </row>
    <row r="24" spans="1:4" x14ac:dyDescent="0.25">
      <c r="A24" s="7" t="s">
        <v>25</v>
      </c>
      <c r="B24" s="7">
        <v>23</v>
      </c>
      <c r="C24" s="7" t="s">
        <v>305</v>
      </c>
      <c r="D24" s="7" t="s">
        <v>402</v>
      </c>
    </row>
    <row r="25" spans="1:4" x14ac:dyDescent="0.25">
      <c r="A25" s="7" t="s">
        <v>25</v>
      </c>
      <c r="B25" s="7">
        <v>24</v>
      </c>
      <c r="C25" s="7" t="s">
        <v>307</v>
      </c>
      <c r="D25" s="7" t="s">
        <v>402</v>
      </c>
    </row>
    <row r="26" spans="1:4" x14ac:dyDescent="0.25">
      <c r="A26" s="7" t="s">
        <v>25</v>
      </c>
      <c r="B26" s="7">
        <v>25</v>
      </c>
      <c r="C26" s="7" t="s">
        <v>308</v>
      </c>
      <c r="D26" s="7" t="s">
        <v>402</v>
      </c>
    </row>
    <row r="27" spans="1:4" x14ac:dyDescent="0.25">
      <c r="A27" s="7" t="s">
        <v>25</v>
      </c>
      <c r="B27" s="7">
        <v>26</v>
      </c>
      <c r="C27" s="7" t="s">
        <v>310</v>
      </c>
      <c r="D27" s="7" t="s">
        <v>402</v>
      </c>
    </row>
    <row r="28" spans="1:4" x14ac:dyDescent="0.25">
      <c r="A28" s="7" t="s">
        <v>25</v>
      </c>
      <c r="B28" s="7">
        <v>27</v>
      </c>
      <c r="C28" s="7" t="s">
        <v>312</v>
      </c>
      <c r="D28" s="7" t="s">
        <v>402</v>
      </c>
    </row>
    <row r="29" spans="1:4" x14ac:dyDescent="0.25">
      <c r="A29" s="7" t="s">
        <v>25</v>
      </c>
      <c r="B29" s="7">
        <v>28</v>
      </c>
      <c r="C29" s="7" t="s">
        <v>314</v>
      </c>
      <c r="D29" s="7" t="s">
        <v>402</v>
      </c>
    </row>
    <row r="30" spans="1:4" x14ac:dyDescent="0.25">
      <c r="A30" s="7" t="s">
        <v>25</v>
      </c>
      <c r="B30" s="7">
        <v>29</v>
      </c>
      <c r="C30" s="7" t="s">
        <v>316</v>
      </c>
      <c r="D30" s="7" t="s">
        <v>402</v>
      </c>
    </row>
    <row r="31" spans="1:4" x14ac:dyDescent="0.25">
      <c r="A31" s="7" t="s">
        <v>25</v>
      </c>
      <c r="B31" s="7">
        <v>30</v>
      </c>
      <c r="C31" s="7" t="s">
        <v>317</v>
      </c>
      <c r="D31" s="7" t="s">
        <v>402</v>
      </c>
    </row>
    <row r="32" spans="1:4" x14ac:dyDescent="0.25">
      <c r="A32" s="7" t="s">
        <v>25</v>
      </c>
      <c r="B32" s="7">
        <v>31</v>
      </c>
      <c r="C32" s="7" t="s">
        <v>319</v>
      </c>
      <c r="D32" s="7" t="s">
        <v>402</v>
      </c>
    </row>
    <row r="33" spans="1:4" x14ac:dyDescent="0.25">
      <c r="A33" s="7" t="s">
        <v>25</v>
      </c>
      <c r="B33" s="7">
        <v>32</v>
      </c>
      <c r="C33" s="7" t="s">
        <v>321</v>
      </c>
      <c r="D33" s="7" t="s">
        <v>402</v>
      </c>
    </row>
    <row r="34" spans="1:4" x14ac:dyDescent="0.25">
      <c r="A34" s="7" t="s">
        <v>25</v>
      </c>
      <c r="B34" s="7">
        <v>33</v>
      </c>
      <c r="C34" s="7" t="s">
        <v>322</v>
      </c>
      <c r="D34" s="7" t="s">
        <v>402</v>
      </c>
    </row>
    <row r="35" spans="1:4" x14ac:dyDescent="0.25">
      <c r="A35" s="7" t="s">
        <v>25</v>
      </c>
      <c r="B35" s="7">
        <v>34</v>
      </c>
      <c r="C35" s="7" t="s">
        <v>324</v>
      </c>
      <c r="D35" s="7" t="s">
        <v>402</v>
      </c>
    </row>
    <row r="36" spans="1:4" x14ac:dyDescent="0.25">
      <c r="A36" s="7" t="s">
        <v>25</v>
      </c>
      <c r="B36" s="7">
        <v>35</v>
      </c>
      <c r="C36" s="7" t="s">
        <v>326</v>
      </c>
      <c r="D36" s="7" t="s">
        <v>402</v>
      </c>
    </row>
    <row r="37" spans="1:4" x14ac:dyDescent="0.25">
      <c r="A37" s="7" t="s">
        <v>25</v>
      </c>
      <c r="B37" s="7">
        <v>36</v>
      </c>
      <c r="C37" s="7" t="s">
        <v>328</v>
      </c>
      <c r="D37" s="7" t="s">
        <v>402</v>
      </c>
    </row>
    <row r="38" spans="1:4" x14ac:dyDescent="0.25">
      <c r="A38" s="7" t="s">
        <v>25</v>
      </c>
      <c r="B38" s="7">
        <v>37</v>
      </c>
      <c r="C38" s="7" t="s">
        <v>330</v>
      </c>
      <c r="D38" s="7" t="s">
        <v>402</v>
      </c>
    </row>
    <row r="39" spans="1:4" x14ac:dyDescent="0.25">
      <c r="A39" s="7" t="s">
        <v>25</v>
      </c>
      <c r="B39" s="7">
        <v>38</v>
      </c>
      <c r="C39" s="7" t="s">
        <v>332</v>
      </c>
      <c r="D39" s="7" t="s">
        <v>402</v>
      </c>
    </row>
    <row r="40" spans="1:4" x14ac:dyDescent="0.25">
      <c r="A40" s="7" t="s">
        <v>25</v>
      </c>
      <c r="B40" s="7">
        <v>39</v>
      </c>
      <c r="C40" s="7" t="s">
        <v>334</v>
      </c>
      <c r="D40" s="7" t="s">
        <v>402</v>
      </c>
    </row>
    <row r="41" spans="1:4" x14ac:dyDescent="0.25">
      <c r="A41" s="7" t="s">
        <v>25</v>
      </c>
      <c r="B41" s="7">
        <v>40</v>
      </c>
      <c r="C41" s="7" t="s">
        <v>335</v>
      </c>
      <c r="D41" s="7" t="s">
        <v>402</v>
      </c>
    </row>
    <row r="42" spans="1:4" x14ac:dyDescent="0.25">
      <c r="A42" s="7" t="s">
        <v>25</v>
      </c>
      <c r="B42" s="7">
        <v>41</v>
      </c>
      <c r="C42" s="7" t="s">
        <v>336</v>
      </c>
      <c r="D42" s="7" t="s">
        <v>402</v>
      </c>
    </row>
    <row r="43" spans="1:4" x14ac:dyDescent="0.25">
      <c r="A43" s="7" t="s">
        <v>25</v>
      </c>
      <c r="B43" s="7">
        <v>42</v>
      </c>
      <c r="C43" s="7" t="s">
        <v>337</v>
      </c>
      <c r="D43" s="7" t="s">
        <v>402</v>
      </c>
    </row>
  </sheetData>
  <phoneticPr fontId="4" type="noConversion"/>
  <dataValidations count="1">
    <dataValidation type="list" allowBlank="1" sqref="A2:A100" xr:uid="{00000000-0002-0000-0200-000000000000}">
      <formula1>"RING_1,RING_2,RING_3"</formula1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2"/>
  <sheetViews>
    <sheetView workbookViewId="0"/>
  </sheetViews>
  <sheetFormatPr defaultRowHeight="15" x14ac:dyDescent="0.25"/>
  <cols>
    <col min="1" max="1" width="105" customWidth="1"/>
  </cols>
  <sheetData>
    <row r="1" spans="1:1" s="6" customFormat="1" ht="18.75" x14ac:dyDescent="0.3">
      <c r="A1" s="6" t="s">
        <v>27</v>
      </c>
    </row>
    <row r="2" spans="1:1" x14ac:dyDescent="0.25">
      <c r="A2" t="s">
        <v>28</v>
      </c>
    </row>
    <row r="3" spans="1:1" x14ac:dyDescent="0.25">
      <c r="A3" t="s">
        <v>29</v>
      </c>
    </row>
    <row r="4" spans="1:1" x14ac:dyDescent="0.25">
      <c r="A4" t="s">
        <v>30</v>
      </c>
    </row>
    <row r="5" spans="1:1" x14ac:dyDescent="0.25">
      <c r="A5" t="s">
        <v>31</v>
      </c>
    </row>
    <row r="6" spans="1:1" x14ac:dyDescent="0.25">
      <c r="A6" t="s">
        <v>32</v>
      </c>
    </row>
    <row r="7" spans="1:1" x14ac:dyDescent="0.25">
      <c r="A7" t="s">
        <v>33</v>
      </c>
    </row>
    <row r="8" spans="1:1" x14ac:dyDescent="0.25">
      <c r="A8" t="s">
        <v>34</v>
      </c>
    </row>
    <row r="9" spans="1:1" x14ac:dyDescent="0.25">
      <c r="A9" t="s">
        <v>35</v>
      </c>
    </row>
    <row r="10" spans="1:1" x14ac:dyDescent="0.25">
      <c r="A10" t="s">
        <v>36</v>
      </c>
    </row>
    <row r="11" spans="1:1" x14ac:dyDescent="0.25">
      <c r="A11" t="s">
        <v>37</v>
      </c>
    </row>
    <row r="12" spans="1:1" x14ac:dyDescent="0.25">
      <c r="A12" t="s">
        <v>38</v>
      </c>
    </row>
  </sheetData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車站</vt:lpstr>
      <vt:lpstr>路線</vt:lpstr>
      <vt:lpstr>莫斯科環</vt:lpstr>
      <vt:lpstr>說明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2026-10-23T12:04:46Z</dcterms:created>
  <dcterms:modified xsi:type="dcterms:W3CDTF">2026-10-23T12:09:45Z</dcterms:modified>
  <cp:category/>
</cp:coreProperties>
</file>